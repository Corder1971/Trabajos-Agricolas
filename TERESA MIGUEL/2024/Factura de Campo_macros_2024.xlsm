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filterPrivacy="1" codeName="ThisWorkbook"/>
  <xr:revisionPtr revIDLastSave="0" documentId="13_ncr:1_{17A6A1F7-C008-4887-97C2-3D881BE48A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  <sheet name="Gastos por Finca" sheetId="5" r:id="rId5"/>
  </sheets>
  <definedNames>
    <definedName name="_xlnm._FilterDatabase" localSheetId="3" hidden="1">Trabajos!$A$1:$L$54</definedName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 calcMode="manual"/>
  <pivotCaches>
    <pivotCache cacheId="1" r:id="rId6"/>
  </pivotCaches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L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<sst xmlns="http://schemas.openxmlformats.org/spreadsheetml/2006/main" count="292" uniqueCount="57">
  <si>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</si>
  <si>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</si>
  <si>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</si>
  <si>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</si>
  <si>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</si>
  <si>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</si>
  <si>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</si>
  <si>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</si>
  <si>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</si>
  <si>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</si>
  <si>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</si>
  <si>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</si>
  <si>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</si>
  <si>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</si>
  <si>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</si>
  <si>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</si>
  <si>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</si>
  <si>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</si>
  <si>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</si>
  <si>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</si>
  <si>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</si>
  <si>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</si>
  <si>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</si>
  <si>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</si>
  <si>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</si>
  <si>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</si>
  <si>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</si>
  <si>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</si>
  <si>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</si>
  <si>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</si>
  <si>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</si>
  <si>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</si>
  <si>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</si>
  <si>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</si>
  <si>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</si>
  <si>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</si>
  <si>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</si>
  <si>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Apellido1</t>
  </si>
  <si>
    <t>Apellido2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</si>
  <si>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</si>
  <si>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</si>
  <si>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</si>
  <si>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</si>
  <si>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</si>
  <si>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</si>
  <si>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</si>
  <si>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</si>
  <si>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</si>
  <si>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</si>
  <si>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</si>
  <si>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</si>
  <si>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</si>
  <si>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</si>
  <si>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Etiquetas de fila</t>
  </si>
  <si>
    <t>Total general</t>
  </si>
  <si>
    <t>Suma de Horas</t>
  </si>
  <si>
    <t>Suma de 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</si>
</sst>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#,##0\ &quot;€&quot;;\-#,##0\ &quot;€&quot;"/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#,##0\ &quot;€&quot;"/>
  </numFmts>
  <fonts count="26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14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45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4" fillId="4" borderId="3" xfId="6" applyProtection="1">
      <alignment vertical="center"/>
    </xf>
    <xf numFmtId="0" fontId="4" fillId="4" borderId="3" xfId="6" applyAlignment="1" applyProtection="1">
      <alignment vertical="top" wrapText="1"/>
    </xf>
    <xf numFmtId="0" fontId="4" fillId="4" borderId="3" xfId="6" applyAlignment="1" applyProtection="1">
      <alignment horizontal="left" vertical="center" indent="2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167" fontId="21" fillId="0" borderId="0" xfId="2" applyFont="1" applyAlignment="1" applyProtection="1">
      <alignment horizontal="center" vertical="center"/>
    </xf>
    <xf numFmtId="1" fontId="22" fillId="0" borderId="0" xfId="0" applyNumberFormat="1" applyFont="1">
      <alignment horizontal="left" vertical="center" wrapText="1" indent="1"/>
    </xf>
    <xf numFmtId="14" fontId="22" fillId="0" borderId="0" xfId="18" applyFont="1" applyAlignment="1">
      <alignment horizontal="left" vertical="center" wrapText="1" indent="1"/>
    </xf>
    <xf numFmtId="0" fontId="22" fillId="0" borderId="5" xfId="2" applyNumberFormat="1" applyFont="1" applyBorder="1" applyAlignment="1">
      <alignment horizontal="left" vertical="center"/>
    </xf>
    <xf numFmtId="167" fontId="22" fillId="0" borderId="0" xfId="2" applyFont="1" applyAlignment="1" applyProtection="1">
      <alignment horizontal="center" vertical="center"/>
    </xf>
    <xf numFmtId="44" fontId="18" fillId="0" borderId="1" xfId="13" applyFont="1" applyFill="1" applyBorder="1" applyAlignment="1" applyProtection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pivotButton="1" applyAlignment="1">
      <alignment horizontal="left" vertical="center" indent="1" shrinkToFit="1"/>
    </xf>
    <xf numFmtId="0" fontId="0" fillId="0" borderId="0" xfId="0" applyAlignment="1">
      <alignment horizontal="left" vertical="center" indent="1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indent="2" shrinkToFit="1"/>
    </xf>
    <xf numFmtId="0" fontId="0" fillId="0" borderId="0" xfId="0" applyAlignment="1">
      <alignment horizontal="center" vertical="center" shrinkToFit="1"/>
    </xf>
    <xf numFmtId="168" fontId="0" fillId="0" borderId="0" xfId="0" applyNumberFormat="1" applyAlignment="1">
      <alignment horizontal="center" vertical="center" shrinkToFit="1"/>
    </xf>
    <xf numFmtId="0" fontId="4" fillId="4" borderId="3" xfId="6" applyAlignment="1" applyProtection="1">
      <alignment horizontal="left" vertical="center" indent="2"/>
    </xf>
    <xf numFmtId="0" fontId="14" fillId="5" borderId="1" xfId="15" applyBorder="1">
      <alignment horizontal="left" vertical="top" wrapText="1" indent="1"/>
    </xf>
    <xf numFmtId="14" fontId="0" fillId="0" borderId="0" xfId="0" applyNumberFormat="1" applyAlignment="1">
      <alignment horizontal="left" vertical="center" indent="3" shrinkToFit="1"/>
    </xf>
    <xf numFmtId="0" fontId="0" fillId="0" borderId="0" xfId="0" applyNumberFormat="1" applyAlignment="1">
      <alignment horizontal="center" vertical="center" shrinkToFit="1"/>
    </xf>
    <xf numFmtId="1" fontId="18" fillId="0" borderId="0" xfId="0" applyNumberFormat="1" applyFont="1" applyFill="1" applyBorder="1" applyAlignment="1">
      <alignment horizontal="center" vertical="center" wrapText="1"/>
    </xf>
    <xf numFmtId="1" fontId="18" fillId="0" borderId="1" xfId="0" applyNumberFormat="1" applyFont="1" applyFill="1" applyBorder="1" applyAlignment="1">
      <alignment horizontal="center" vertical="center" wrapText="1"/>
    </xf>
    <xf numFmtId="5" fontId="16" fillId="0" borderId="0" xfId="13" applyNumberFormat="1" applyFont="1" applyFill="1" applyBorder="1" applyAlignment="1" applyProtection="1">
      <alignment horizontal="center" vertical="center"/>
    </xf>
    <xf numFmtId="5" fontId="17" fillId="2" borderId="1" xfId="13" applyNumberFormat="1" applyFont="1" applyFill="1" applyBorder="1" applyProtection="1">
      <alignment horizontal="right" vertical="center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30"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9" formatCode="#,##0\ &quot;€&quot;;\-#,##0\ &quot;€&quot;"/>
      <protection locked="1" hidden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8" formatCode="#,##0\ &quot;€&quot;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alignment wrapText="0" shrinkToFit="1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29"/>
      <tableStyleElement type="headerRow" dxfId="28"/>
      <tableStyleElement type="totalRow" dxfId="27"/>
      <tableStyleElement type="lastColumn" dxfId="26"/>
      <tableStyleElement type="firstRowStripe" dxfId="25"/>
      <tableStyleElement type="secondRowStripe" dxfId="2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735.858383796294" createdVersion="8" refreshedVersion="8" minRefreshableVersion="3" recordCount="50" xr:uid="{237EDF8B-8697-4790-A26B-00D0D96289BF}">
  <cacheSource type="worksheet">
    <worksheetSource ref="A1:I51" sheet="Trabajos"/>
  </cacheSource>
  <cacheFields count="11">
    <cacheField name="CodFactura" numFmtId="0">
      <sharedItems containsSemiMixedTypes="0" containsString="0" containsNumber="1" containsInteger="1" minValue="1" maxValue="14"/>
    </cacheField>
    <cacheField name="Fecha" numFmtId="14">
      <sharedItems containsSemiMixedTypes="0" containsNonDate="0" containsDate="1" containsString="0" minDate="2024-01-04T00:00:00" maxDate="2024-11-27T00:00:00" count="14">
        <d v="2024-01-04T00:00:00"/>
        <d v="2024-03-24T00:00:00"/>
        <d v="2024-04-23T00:00:00"/>
        <d v="2024-05-12T00:00:00"/>
        <d v="2024-05-31T00:00:00"/>
        <d v="2024-06-18T00:00:00"/>
        <d v="2024-07-01T00:00:00"/>
        <d v="2024-07-22T00:00:00"/>
        <d v="2024-08-08T00:00:00"/>
        <d v="2024-08-20T00:00:00"/>
        <d v="2024-09-03T00:00:00"/>
        <d v="2024-09-26T00:00:00"/>
        <d v="2024-10-13T00:00:00"/>
        <d v="2024-11-26T00:00:00"/>
      </sharedItems>
      <fieldGroup par="10"/>
    </cacheField>
    <cacheField name="Nombre" numFmtId="0">
      <sharedItems/>
    </cacheField>
    <cacheField name="Horas" numFmtId="0">
      <sharedItems containsSemiMixedTypes="0" containsString="0" containsNumber="1" containsInteger="1" minValue="1" maxValue="35" count="12">
        <n v="20"/>
        <n v="2"/>
        <n v="10"/>
        <n v="5"/>
        <n v="28"/>
        <n v="4"/>
        <n v="3"/>
        <n v="1"/>
        <n v="8"/>
        <n v="15"/>
        <n v="12"/>
        <n v="35"/>
      </sharedItems>
    </cacheField>
    <cacheField name="TrabajoRealizado" numFmtId="0">
      <sharedItems count="14">
        <s v="Podar"/>
        <s v="Triturar"/>
        <s v="Pintar cortes"/>
        <s v="Pulverizar"/>
        <s v="Motor de pulverizar"/>
        <s v="Injectar abono"/>
        <s v="Otros"/>
        <s v="Pasar herbicida"/>
        <s v="Abrir gomas goteo"/>
        <s v="Desbordegar"/>
        <s v="Poner mosqueros"/>
        <s v="Matear malas hierbas"/>
        <s v="Abonar"/>
        <s v="Tirar naranjas"/>
      </sharedItems>
    </cacheField>
    <cacheField name="Variedad" numFmtId="0">
      <sharedItems count="2">
        <s v="Oronul"/>
        <s v="Ortanique"/>
      </sharedItems>
    </cacheField>
    <cacheField name="Partida" numFmtId="0">
      <sharedItems count="3">
        <s v="Salt"/>
        <s v="La Foia"/>
        <s v="Camí Artanencs"/>
      </sharedItems>
    </cacheField>
    <cacheField name="Parcela" numFmtId="0">
      <sharedItems containsNonDate="0" containsString="0" containsBlank="1"/>
    </cacheField>
    <cacheField name="Precio" numFmtId="0">
      <sharedItems containsSemiMixedTypes="0" containsString="0" containsNumber="1" containsInteger="1" minValue="10" maxValue="350"/>
    </cacheField>
    <cacheField name="Días (Fecha)" numFmtId="0" databaseField="0">
      <fieldGroup base="1">
        <rangePr groupBy="days" startDate="2024-01-04T00:00:00" endDate="2024-11-27T00:00:00"/>
        <groupItems count="368">
          <s v="&lt;04/01/2024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/11/2024"/>
        </groupItems>
      </fieldGroup>
    </cacheField>
    <cacheField name="Meses (Fecha)" numFmtId="0" databaseField="0">
      <fieldGroup base="1">
        <rangePr groupBy="months" startDate="2024-01-04T00:00:00" endDate="2024-11-27T00:00:00"/>
        <groupItems count="14">
          <s v="&lt;04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7/1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Teresa Miguel Serisuelo"/>
    <x v="0"/>
    <x v="0"/>
    <x v="0"/>
    <x v="0"/>
    <m/>
    <n v="200"/>
  </r>
  <r>
    <n v="2"/>
    <x v="1"/>
    <s v="Teresa Miguel Serisuelo"/>
    <x v="1"/>
    <x v="1"/>
    <x v="0"/>
    <x v="0"/>
    <m/>
    <n v="20"/>
  </r>
  <r>
    <n v="2"/>
    <x v="1"/>
    <s v="Teresa Miguel Serisuelo"/>
    <x v="1"/>
    <x v="2"/>
    <x v="0"/>
    <x v="0"/>
    <m/>
    <n v="20"/>
  </r>
  <r>
    <n v="2"/>
    <x v="1"/>
    <s v="Teresa Miguel Serisuelo"/>
    <x v="2"/>
    <x v="3"/>
    <x v="0"/>
    <x v="1"/>
    <m/>
    <n v="100"/>
  </r>
  <r>
    <n v="2"/>
    <x v="1"/>
    <s v="Teresa Miguel Serisuelo"/>
    <x v="3"/>
    <x v="4"/>
    <x v="0"/>
    <x v="1"/>
    <m/>
    <n v="50"/>
  </r>
  <r>
    <n v="3"/>
    <x v="2"/>
    <s v="Teresa Miguel Serisuelo"/>
    <x v="4"/>
    <x v="0"/>
    <x v="0"/>
    <x v="1"/>
    <m/>
    <n v="280"/>
  </r>
  <r>
    <n v="3"/>
    <x v="2"/>
    <s v="Teresa Miguel Serisuelo"/>
    <x v="1"/>
    <x v="5"/>
    <x v="0"/>
    <x v="1"/>
    <m/>
    <n v="20"/>
  </r>
  <r>
    <n v="3"/>
    <x v="2"/>
    <s v="Teresa Miguel Serisuelo"/>
    <x v="1"/>
    <x v="6"/>
    <x v="0"/>
    <x v="0"/>
    <m/>
    <n v="20"/>
  </r>
  <r>
    <n v="4"/>
    <x v="3"/>
    <s v="Teresa Miguel Serisuelo"/>
    <x v="3"/>
    <x v="7"/>
    <x v="0"/>
    <x v="1"/>
    <m/>
    <n v="50"/>
  </r>
  <r>
    <n v="4"/>
    <x v="3"/>
    <s v="Teresa Miguel Serisuelo"/>
    <x v="2"/>
    <x v="3"/>
    <x v="0"/>
    <x v="1"/>
    <m/>
    <n v="100"/>
  </r>
  <r>
    <n v="4"/>
    <x v="3"/>
    <s v="Teresa Miguel Serisuelo"/>
    <x v="3"/>
    <x v="4"/>
    <x v="0"/>
    <x v="1"/>
    <m/>
    <n v="50"/>
  </r>
  <r>
    <n v="4"/>
    <x v="3"/>
    <s v="Teresa Miguel Serisuelo"/>
    <x v="5"/>
    <x v="3"/>
    <x v="0"/>
    <x v="0"/>
    <m/>
    <n v="40"/>
  </r>
  <r>
    <n v="4"/>
    <x v="3"/>
    <s v="Teresa Miguel Serisuelo"/>
    <x v="1"/>
    <x v="4"/>
    <x v="0"/>
    <x v="0"/>
    <m/>
    <n v="20"/>
  </r>
  <r>
    <n v="5"/>
    <x v="4"/>
    <s v="Teresa Miguel Serisuelo"/>
    <x v="1"/>
    <x v="7"/>
    <x v="0"/>
    <x v="0"/>
    <m/>
    <n v="20"/>
  </r>
  <r>
    <n v="5"/>
    <x v="4"/>
    <s v="Teresa Miguel Serisuelo"/>
    <x v="1"/>
    <x v="8"/>
    <x v="0"/>
    <x v="0"/>
    <m/>
    <n v="20"/>
  </r>
  <r>
    <n v="5"/>
    <x v="4"/>
    <s v="Teresa Miguel Serisuelo"/>
    <x v="1"/>
    <x v="8"/>
    <x v="1"/>
    <x v="2"/>
    <m/>
    <n v="20"/>
  </r>
  <r>
    <n v="5"/>
    <x v="4"/>
    <s v="Teresa Miguel Serisuelo"/>
    <x v="6"/>
    <x v="8"/>
    <x v="0"/>
    <x v="1"/>
    <m/>
    <n v="30"/>
  </r>
  <r>
    <n v="6"/>
    <x v="5"/>
    <s v="Teresa Miguel Serisuelo"/>
    <x v="2"/>
    <x v="3"/>
    <x v="0"/>
    <x v="1"/>
    <m/>
    <n v="100"/>
  </r>
  <r>
    <n v="6"/>
    <x v="5"/>
    <s v="Teresa Miguel Serisuelo"/>
    <x v="3"/>
    <x v="4"/>
    <x v="0"/>
    <x v="1"/>
    <m/>
    <n v="50"/>
  </r>
  <r>
    <n v="6"/>
    <x v="5"/>
    <s v="Teresa Miguel Serisuelo"/>
    <x v="1"/>
    <x v="3"/>
    <x v="0"/>
    <x v="0"/>
    <m/>
    <n v="20"/>
  </r>
  <r>
    <n v="6"/>
    <x v="5"/>
    <s v="Teresa Miguel Serisuelo"/>
    <x v="7"/>
    <x v="4"/>
    <x v="0"/>
    <x v="0"/>
    <m/>
    <n v="10"/>
  </r>
  <r>
    <n v="6"/>
    <x v="5"/>
    <s v="Teresa Miguel Serisuelo"/>
    <x v="8"/>
    <x v="3"/>
    <x v="1"/>
    <x v="2"/>
    <m/>
    <n v="80"/>
  </r>
  <r>
    <n v="6"/>
    <x v="5"/>
    <s v="Teresa Miguel Serisuelo"/>
    <x v="5"/>
    <x v="4"/>
    <x v="1"/>
    <x v="2"/>
    <m/>
    <n v="40"/>
  </r>
  <r>
    <n v="7"/>
    <x v="6"/>
    <s v="Teresa Miguel Serisuelo"/>
    <x v="9"/>
    <x v="0"/>
    <x v="1"/>
    <x v="2"/>
    <m/>
    <n v="150"/>
  </r>
  <r>
    <n v="7"/>
    <x v="6"/>
    <s v="Teresa Miguel Serisuelo"/>
    <x v="6"/>
    <x v="7"/>
    <x v="1"/>
    <x v="2"/>
    <m/>
    <n v="30"/>
  </r>
  <r>
    <n v="7"/>
    <x v="6"/>
    <s v="Teresa Miguel Serisuelo"/>
    <x v="1"/>
    <x v="7"/>
    <x v="0"/>
    <x v="0"/>
    <m/>
    <n v="20"/>
  </r>
  <r>
    <n v="8"/>
    <x v="7"/>
    <s v="Teresa Miguel Serisuelo"/>
    <x v="3"/>
    <x v="7"/>
    <x v="0"/>
    <x v="1"/>
    <m/>
    <n v="50"/>
  </r>
  <r>
    <n v="8"/>
    <x v="7"/>
    <s v="Teresa Miguel Serisuelo"/>
    <x v="10"/>
    <x v="9"/>
    <x v="0"/>
    <x v="1"/>
    <m/>
    <n v="120"/>
  </r>
  <r>
    <n v="8"/>
    <x v="7"/>
    <s v="Teresa Miguel Serisuelo"/>
    <x v="6"/>
    <x v="9"/>
    <x v="1"/>
    <x v="2"/>
    <m/>
    <n v="30"/>
  </r>
  <r>
    <n v="8"/>
    <x v="7"/>
    <s v="Teresa Miguel Serisuelo"/>
    <x v="1"/>
    <x v="10"/>
    <x v="0"/>
    <x v="1"/>
    <m/>
    <n v="20"/>
  </r>
  <r>
    <n v="8"/>
    <x v="7"/>
    <s v="Teresa Miguel Serisuelo"/>
    <x v="7"/>
    <x v="10"/>
    <x v="0"/>
    <x v="0"/>
    <m/>
    <n v="10"/>
  </r>
  <r>
    <n v="8"/>
    <x v="7"/>
    <s v="Teresa Miguel Serisuelo"/>
    <x v="1"/>
    <x v="1"/>
    <x v="0"/>
    <x v="1"/>
    <m/>
    <n v="20"/>
  </r>
  <r>
    <n v="8"/>
    <x v="7"/>
    <s v="Teresa Miguel Serisuelo"/>
    <x v="1"/>
    <x v="1"/>
    <x v="1"/>
    <x v="2"/>
    <m/>
    <n v="20"/>
  </r>
  <r>
    <n v="9"/>
    <x v="8"/>
    <s v="Teresa Miguel Serisuelo"/>
    <x v="10"/>
    <x v="11"/>
    <x v="1"/>
    <x v="2"/>
    <m/>
    <n v="120"/>
  </r>
  <r>
    <n v="9"/>
    <x v="8"/>
    <s v="Teresa Miguel Serisuelo"/>
    <x v="1"/>
    <x v="12"/>
    <x v="0"/>
    <x v="1"/>
    <m/>
    <n v="20"/>
  </r>
  <r>
    <n v="9"/>
    <x v="8"/>
    <s v="Teresa Miguel Serisuelo"/>
    <x v="7"/>
    <x v="12"/>
    <x v="0"/>
    <x v="0"/>
    <m/>
    <n v="10"/>
  </r>
  <r>
    <n v="10"/>
    <x v="9"/>
    <s v="Teresa Miguel Serisuelo"/>
    <x v="2"/>
    <x v="3"/>
    <x v="0"/>
    <x v="1"/>
    <m/>
    <n v="100"/>
  </r>
  <r>
    <n v="10"/>
    <x v="9"/>
    <s v="Teresa Miguel Serisuelo"/>
    <x v="3"/>
    <x v="4"/>
    <x v="0"/>
    <x v="1"/>
    <m/>
    <n v="50"/>
  </r>
  <r>
    <n v="10"/>
    <x v="9"/>
    <s v="Teresa Miguel Serisuelo"/>
    <x v="3"/>
    <x v="7"/>
    <x v="0"/>
    <x v="1"/>
    <m/>
    <n v="50"/>
  </r>
  <r>
    <n v="10"/>
    <x v="9"/>
    <s v="Teresa Miguel Serisuelo"/>
    <x v="6"/>
    <x v="7"/>
    <x v="1"/>
    <x v="2"/>
    <m/>
    <n v="30"/>
  </r>
  <r>
    <n v="10"/>
    <x v="9"/>
    <s v="Teresa Miguel Serisuelo"/>
    <x v="7"/>
    <x v="7"/>
    <x v="0"/>
    <x v="0"/>
    <m/>
    <n v="10"/>
  </r>
  <r>
    <n v="11"/>
    <x v="10"/>
    <s v="Teresa Miguel Serisuelo"/>
    <x v="5"/>
    <x v="3"/>
    <x v="0"/>
    <x v="0"/>
    <m/>
    <n v="40"/>
  </r>
  <r>
    <n v="11"/>
    <x v="10"/>
    <s v="Teresa Miguel Serisuelo"/>
    <x v="6"/>
    <x v="4"/>
    <x v="0"/>
    <x v="0"/>
    <m/>
    <n v="30"/>
  </r>
  <r>
    <n v="12"/>
    <x v="11"/>
    <s v="Teresa Miguel Serisuelo"/>
    <x v="11"/>
    <x v="13"/>
    <x v="0"/>
    <x v="1"/>
    <m/>
    <n v="350"/>
  </r>
  <r>
    <n v="12"/>
    <x v="11"/>
    <s v="Teresa Miguel Serisuelo"/>
    <x v="3"/>
    <x v="9"/>
    <x v="0"/>
    <x v="1"/>
    <m/>
    <n v="50"/>
  </r>
  <r>
    <n v="13"/>
    <x v="12"/>
    <s v="Teresa Miguel Serisuelo"/>
    <x v="8"/>
    <x v="3"/>
    <x v="1"/>
    <x v="2"/>
    <m/>
    <n v="80"/>
  </r>
  <r>
    <n v="13"/>
    <x v="12"/>
    <s v="Teresa Miguel Serisuelo"/>
    <x v="5"/>
    <x v="4"/>
    <x v="1"/>
    <x v="2"/>
    <m/>
    <n v="40"/>
  </r>
  <r>
    <n v="14"/>
    <x v="13"/>
    <s v="Teresa Miguel Serisuelo"/>
    <x v="3"/>
    <x v="7"/>
    <x v="0"/>
    <x v="1"/>
    <m/>
    <n v="50"/>
  </r>
  <r>
    <n v="14"/>
    <x v="13"/>
    <s v="Teresa Miguel Serisuelo"/>
    <x v="5"/>
    <x v="7"/>
    <x v="1"/>
    <x v="2"/>
    <m/>
    <n v="40"/>
  </r>
  <r>
    <n v="14"/>
    <x v="13"/>
    <s v="Teresa Miguel Serisuelo"/>
    <x v="1"/>
    <x v="7"/>
    <x v="0"/>
    <x v="0"/>
    <m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6ECD2-6CAC-44BC-88FE-6F98A49A82D3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C27" firstHeaderRow="0" firstDataRow="1" firstDataCol="1"/>
  <pivotFields count="11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>
      <items count="13">
        <item x="7"/>
        <item x="1"/>
        <item x="6"/>
        <item x="5"/>
        <item x="3"/>
        <item x="8"/>
        <item x="2"/>
        <item x="10"/>
        <item x="9"/>
        <item x="0"/>
        <item x="4"/>
        <item x="11"/>
        <item t="default"/>
      </items>
    </pivotField>
    <pivotField axis="axisRow" showAll="0">
      <items count="15">
        <item x="12"/>
        <item x="8"/>
        <item x="9"/>
        <item x="5"/>
        <item x="11"/>
        <item x="4"/>
        <item x="6"/>
        <item x="7"/>
        <item x="2"/>
        <item x="0"/>
        <item x="10"/>
        <item x="3"/>
        <item x="13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4">
        <item x="2"/>
        <item sd="0" x="1"/>
        <item sd="0" x="0"/>
        <item t="default"/>
      </items>
    </pivotField>
    <pivotField showAll="0"/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5"/>
    <field x="6"/>
    <field x="4"/>
    <field x="1"/>
  </rowFields>
  <rowItems count="26">
    <i>
      <x/>
    </i>
    <i r="1">
      <x v="1"/>
    </i>
    <i r="1">
      <x v="2"/>
    </i>
    <i>
      <x v="1"/>
    </i>
    <i r="1">
      <x/>
    </i>
    <i r="2">
      <x v="1"/>
    </i>
    <i r="3">
      <x v="4"/>
    </i>
    <i r="2">
      <x v="2"/>
    </i>
    <i r="3">
      <x v="7"/>
    </i>
    <i r="2">
      <x v="4"/>
    </i>
    <i r="3">
      <x v="8"/>
    </i>
    <i r="2">
      <x v="5"/>
    </i>
    <i r="3">
      <x v="5"/>
    </i>
    <i r="3">
      <x v="12"/>
    </i>
    <i r="2">
      <x v="7"/>
    </i>
    <i r="3">
      <x v="6"/>
    </i>
    <i r="3">
      <x v="9"/>
    </i>
    <i r="3">
      <x v="13"/>
    </i>
    <i r="2">
      <x v="9"/>
    </i>
    <i r="3">
      <x v="6"/>
    </i>
    <i r="2">
      <x v="11"/>
    </i>
    <i r="3">
      <x v="5"/>
    </i>
    <i r="3">
      <x v="12"/>
    </i>
    <i r="2">
      <x v="13"/>
    </i>
    <i r="3"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recio" fld="8" baseField="0" baseItem="0" numFmtId="168"/>
    <dataField name="Suma de Horas" fld="3" baseField="0" baseItem="0"/>
  </dataFields>
  <formats count="16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5" type="button" dataOnly="0" labelOnly="1" outline="0" axis="axisRow" fieldPosition="0"/>
    </format>
    <format dxfId="16">
      <pivotArea dataOnly="0" labelOnly="1" fieldPosition="0">
        <references count="1">
          <reference field="5" count="0"/>
        </references>
      </pivotArea>
    </format>
    <format dxfId="15">
      <pivotArea dataOnly="0" labelOnly="1" grandRow="1" outline="0" fieldPosition="0"/>
    </format>
    <format dxfId="14">
      <pivotArea dataOnly="0" labelOnly="1" fieldPosition="0">
        <references count="2">
          <reference field="5" count="1" selected="0">
            <x v="0"/>
          </reference>
          <reference field="6" count="2">
            <x v="1"/>
            <x v="2"/>
          </reference>
        </references>
      </pivotArea>
    </format>
    <format dxfId="13">
      <pivotArea dataOnly="0" labelOnly="1" fieldPosition="0">
        <references count="2">
          <reference field="5" count="1" selected="0">
            <x v="1"/>
          </reference>
          <reference field="6" count="1">
            <x v="0"/>
          </reference>
        </references>
      </pivotArea>
    </format>
    <format dxfId="12">
      <pivotArea dataOnly="0" labelOnly="1" fieldPosition="0">
        <references count="3">
          <reference field="4" count="11">
            <x v="0"/>
            <x v="1"/>
            <x v="2"/>
            <x v="3"/>
            <x v="5"/>
            <x v="7"/>
            <x v="9"/>
            <x v="10"/>
            <x v="11"/>
            <x v="12"/>
            <x v="13"/>
          </reference>
          <reference field="5" count="1" selected="0">
            <x v="0"/>
          </reference>
          <reference field="6" count="1" selected="0">
            <x v="1"/>
          </reference>
        </references>
      </pivotArea>
    </format>
    <format dxfId="11">
      <pivotArea dataOnly="0" labelOnly="1" fieldPosition="0">
        <references count="3">
          <reference field="4" count="10">
            <x v="0"/>
            <x v="1"/>
            <x v="5"/>
            <x v="6"/>
            <x v="7"/>
            <x v="8"/>
            <x v="9"/>
            <x v="10"/>
            <x v="11"/>
            <x v="13"/>
          </reference>
          <reference field="5" count="1" selected="0">
            <x v="0"/>
          </reference>
          <reference field="6" count="1" selected="0">
            <x v="2"/>
          </reference>
        </references>
      </pivotArea>
    </format>
    <format dxfId="10">
      <pivotArea dataOnly="0" labelOnly="1" fieldPosition="0">
        <references count="3">
          <reference field="4" count="8">
            <x v="1"/>
            <x v="2"/>
            <x v="4"/>
            <x v="5"/>
            <x v="7"/>
            <x v="9"/>
            <x v="11"/>
            <x v="13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0"/>
    <tableColumn id="2" xr3:uid="{00000000-0010-0000-0000-000002000000}" name="Trabajos" dataDxfId="23"/>
    <tableColumn id="7" xr3:uid="{00000000-0010-0000-0000-000007000000}" name="Variedad" dataDxfId="22"/>
    <tableColumn id="8" xr3:uid="{00000000-0010-0000-0000-000008000000}" name="Partida" dataDxfId="21"/>
    <tableColumn id="10" xr3:uid="{00000000-0010-0000-0000-00000A000000}" name="Parcela" dataDxfId="20"/>
    <tableColumn id="11" xr3:uid="{00000000-0010-0000-0000-00000B000000}" name="Precio" dataDxfId="1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J13" sqref="J13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6"/>
      <c r="B1" s="37"/>
      <c r="C1" s="37"/>
      <c r="D1" s="4"/>
      <c r="E1" s="4"/>
      <c r="F1" s="2"/>
      <c r="G1" s="3"/>
    </row>
    <row r="2" spans="1:7" ht="24" customHeight="1" thickTop="1" x14ac:dyDescent="0.25">
      <c r="B2" s="18" t="s">
        <v>12</v>
      </c>
      <c r="C2" s="21"/>
      <c r="D2" s="15" t="s">
        <v>26</v>
      </c>
      <c r="E2" s="24"/>
      <c r="F2" s="17" t="s">
        <v>1</v>
      </c>
      <c r="G2" s="22">
        <v>16</v>
      </c>
    </row>
    <row r="3" spans="1:7" ht="20.100000000000001" customHeight="1" x14ac:dyDescent="0.25">
      <c r="B3" s="18" t="s">
        <v>0</v>
      </c>
      <c r="C3" s="25"/>
      <c r="F3" s="16" t="s">
        <v>2</v>
      </c>
      <c r="G3" s="23"/>
    </row>
    <row r="4" spans="1:7" ht="20.100000000000001" customHeight="1" x14ac:dyDescent="0.25">
      <c r="B4" s="8"/>
      <c r="C4" s="8"/>
      <c r="F4" s="5"/>
      <c r="G4" s="1"/>
    </row>
    <row r="5" spans="1:7" ht="44.1" customHeight="1" x14ac:dyDescent="0.25">
      <c r="D5" s="7"/>
      <c r="E5" s="7"/>
      <c r="F5" s="7"/>
      <c r="G5" s="7"/>
    </row>
    <row r="6" spans="1:7" ht="33.950000000000003" customHeight="1" x14ac:dyDescent="0.25">
      <c r="B6" s="10" t="s">
        <v>5</v>
      </c>
      <c r="C6" s="10" t="s">
        <v>14</v>
      </c>
      <c r="D6" s="10" t="s">
        <v>6</v>
      </c>
      <c r="E6" s="10" t="s">
        <v>29</v>
      </c>
      <c r="F6" s="10" t="s">
        <v>13</v>
      </c>
      <c r="G6" s="10" t="s">
        <v>4</v>
      </c>
    </row>
    <row r="7" spans="1:7" ht="33.950000000000003" customHeight="1" x14ac:dyDescent="0.25">
      <c r="B7" s="41"/>
      <c r="C7" s="14"/>
      <c r="D7" s="11"/>
      <c r="E7" s="20"/>
      <c r="F7" s="19"/>
      <c r="G7" s="43">
        <f>B7*10</f>
        <v>0</v>
      </c>
    </row>
    <row r="8" spans="1:7" ht="33.950000000000003" customHeight="1" x14ac:dyDescent="0.25">
      <c r="B8" s="41"/>
      <c r="C8" s="14"/>
      <c r="D8" s="11"/>
      <c r="E8" s="20"/>
      <c r="F8" s="19"/>
      <c r="G8" s="43">
        <f>B8*10</f>
        <v>0</v>
      </c>
    </row>
    <row r="9" spans="1:7" ht="33.950000000000003" customHeight="1" x14ac:dyDescent="0.25">
      <c r="B9" s="41"/>
      <c r="C9" s="14"/>
      <c r="D9" s="11"/>
      <c r="E9" s="20"/>
      <c r="F9" s="19"/>
      <c r="G9" s="43">
        <f>B9*10</f>
        <v>0</v>
      </c>
    </row>
    <row r="10" spans="1:7" ht="33.950000000000003" customHeight="1" x14ac:dyDescent="0.25">
      <c r="B10" s="41"/>
      <c r="C10" s="14"/>
      <c r="D10" s="11"/>
      <c r="E10" s="20"/>
      <c r="F10" s="19"/>
      <c r="G10" s="43">
        <f t="shared" ref="G10:G18" si="0">B10*10</f>
        <v>0</v>
      </c>
    </row>
    <row r="11" spans="1:7" ht="33.950000000000003" customHeight="1" x14ac:dyDescent="0.25">
      <c r="B11" s="41"/>
      <c r="C11" s="14"/>
      <c r="D11" s="11"/>
      <c r="E11" s="20"/>
      <c r="F11" s="19"/>
      <c r="G11" s="43">
        <f t="shared" si="0"/>
        <v>0</v>
      </c>
    </row>
    <row r="12" spans="1:7" ht="33.950000000000003" customHeight="1" x14ac:dyDescent="0.25">
      <c r="B12" s="41"/>
      <c r="C12" s="14"/>
      <c r="D12" s="11"/>
      <c r="E12" s="20"/>
      <c r="F12" s="19"/>
      <c r="G12" s="43">
        <f t="shared" si="0"/>
        <v>0</v>
      </c>
    </row>
    <row r="13" spans="1:7" ht="33.950000000000003" customHeight="1" x14ac:dyDescent="0.25">
      <c r="B13" s="41"/>
      <c r="C13" s="14"/>
      <c r="D13" s="11"/>
      <c r="E13" s="20"/>
      <c r="F13" s="19"/>
      <c r="G13" s="43">
        <f t="shared" si="0"/>
        <v>0</v>
      </c>
    </row>
    <row r="14" spans="1:7" ht="33.950000000000003" customHeight="1" x14ac:dyDescent="0.25">
      <c r="B14" s="41"/>
      <c r="C14" s="14"/>
      <c r="D14" s="11"/>
      <c r="E14" s="20"/>
      <c r="F14" s="19"/>
      <c r="G14" s="43">
        <f t="shared" si="0"/>
        <v>0</v>
      </c>
    </row>
    <row r="15" spans="1:7" ht="33.950000000000003" customHeight="1" x14ac:dyDescent="0.25">
      <c r="B15" s="41"/>
      <c r="C15" s="14"/>
      <c r="D15" s="11"/>
      <c r="E15" s="20"/>
      <c r="F15" s="19"/>
      <c r="G15" s="43">
        <f t="shared" si="0"/>
        <v>0</v>
      </c>
    </row>
    <row r="16" spans="1:7" ht="33.950000000000003" customHeight="1" x14ac:dyDescent="0.25">
      <c r="B16" s="42"/>
      <c r="C16" s="14"/>
      <c r="D16" s="13"/>
      <c r="E16" s="26"/>
      <c r="F16" s="19"/>
      <c r="G16" s="43">
        <f t="shared" si="0"/>
        <v>0</v>
      </c>
    </row>
    <row r="17" spans="2:9" ht="33.950000000000003" customHeight="1" x14ac:dyDescent="0.25">
      <c r="B17" s="42"/>
      <c r="C17" s="14"/>
      <c r="D17" s="13"/>
      <c r="E17" s="26"/>
      <c r="F17" s="19"/>
      <c r="G17" s="43">
        <f t="shared" si="0"/>
        <v>0</v>
      </c>
      <c r="I17" s="9"/>
    </row>
    <row r="18" spans="2:9" ht="33.950000000000003" customHeight="1" x14ac:dyDescent="0.25">
      <c r="B18" s="42"/>
      <c r="C18" s="14"/>
      <c r="D18" s="13"/>
      <c r="E18" s="26"/>
      <c r="F18" s="19"/>
      <c r="G18" s="43">
        <f t="shared" si="0"/>
        <v>0</v>
      </c>
    </row>
    <row r="19" spans="2:9" ht="33.950000000000003" customHeight="1" x14ac:dyDescent="0.25">
      <c r="B19" s="38"/>
      <c r="C19" s="38"/>
      <c r="D19" s="38"/>
      <c r="E19" s="38"/>
      <c r="F19" s="12" t="s">
        <v>3</v>
      </c>
      <c r="G19" s="44">
        <f>SUM(G7:G18)</f>
        <v>0</v>
      </c>
    </row>
  </sheetData>
  <sheetProtection formatCells="0" formatColumns="0" formatRows="0" sort="0"/>
  <dataConsolidate/>
  <mergeCells count="2">
    <mergeCell ref="B1:C1"/>
    <mergeCell ref="B19:E19"/>
  </mergeCells>
  <phoneticPr fontId="1" type="noConversion"/>
  <conditionalFormatting sqref="G7:G18">
    <cfRule type="expression" dxfId="3" priority="1">
      <formula>MOD(ROW(),2)=1</formula>
    </cfRule>
    <cfRule type="expression" dxfId="2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:E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5">
        <x14:dataValidation type="list" allowBlank="1" showInputMessage="1" showErrorMessage="1" promptTitle="Variedad" prompt="Seleccione una varidad" xr:uid="{374E221D-8E65-47CC-85EE-0660CF7E9B27}">
          <x14:formula1>
            <xm:f>Listas!$A$1:$A$6</xm:f>
          </x14:formula1>
          <xm:sqref>D8:D18</xm:sqref>
        </x14:dataValidation>
        <x14:dataValidation type="list" allowBlank="1" showInputMessage="1" showErrorMessage="1" xr:uid="{45B698AF-4F74-4644-A727-699C2DCCFA83}">
          <x14:formula1>
            <xm:f>Listas!$C$1:$C$2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  <x14:dataValidation type="list" allowBlank="1" showInputMessage="1" showErrorMessage="1" promptTitle="Variedad" prompt="Seleccione una varidad" xr:uid="{EC09A7B7-DCA8-4AD0-9A0B-F2467675A8AE}">
          <x14:formula1>
            <xm:f>Listas!$A$1:$A$6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H1"/>
  <sheetViews>
    <sheetView workbookViewId="0">
      <selection activeCell="F5" sqref="F5"/>
    </sheetView>
  </sheetViews>
  <sheetFormatPr baseColWidth="10" defaultRowHeight="15" x14ac:dyDescent="0.25"/>
  <cols>
    <col min="1" max="1" width="12.140625" customWidth="1"/>
    <col min="6" max="6" width="22.5703125" customWidth="1"/>
  </cols>
  <sheetData>
    <row r="1" spans="1:8" x14ac:dyDescent="0.25">
      <c r="A1" t="s">
        <v>39</v>
      </c>
      <c r="B1" t="s">
        <v>40</v>
      </c>
      <c r="C1" t="s">
        <v>34</v>
      </c>
      <c r="D1" t="s">
        <v>37</v>
      </c>
      <c r="E1" t="s">
        <v>38</v>
      </c>
      <c r="F1" t="s">
        <v>41</v>
      </c>
      <c r="G1" t="s">
        <v>42</v>
      </c>
      <c r="H1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A10" sqref="A10:XFD10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46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50</v>
      </c>
    </row>
    <row r="8" spans="1:4" x14ac:dyDescent="0.25">
      <c r="B8" t="s">
        <v>52</v>
      </c>
    </row>
    <row r="9" spans="1:4" x14ac:dyDescent="0.25">
      <c r="B9" t="s">
        <v>48</v>
      </c>
    </row>
    <row r="10" spans="1:4" x14ac:dyDescent="0.25">
      <c r="B10" t="s">
        <v>22</v>
      </c>
    </row>
    <row r="11" spans="1:4" x14ac:dyDescent="0.25">
      <c r="B11" t="s">
        <v>47</v>
      </c>
    </row>
    <row r="12" spans="1:4" x14ac:dyDescent="0.25">
      <c r="B12" t="s">
        <v>15</v>
      </c>
    </row>
    <row r="13" spans="1:4" x14ac:dyDescent="0.25">
      <c r="B13" t="s">
        <v>51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45</v>
      </c>
    </row>
    <row r="18" spans="2:2" x14ac:dyDescent="0.25">
      <c r="B18" t="s">
        <v>49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L55"/>
  <sheetViews>
    <sheetView topLeftCell="A31" workbookViewId="0">
      <selection activeCell="B59" sqref="B59"/>
    </sheetView>
  </sheetViews>
  <sheetFormatPr baseColWidth="10" defaultRowHeight="15" x14ac:dyDescent="0.25"/>
  <cols>
    <col min="1" max="1" width="12.42578125" style="28" customWidth="1"/>
    <col min="2" max="2" width="12.140625" style="28" customWidth="1"/>
    <col min="3" max="3" width="29.140625" style="28" customWidth="1"/>
    <col min="4" max="4" width="11.42578125" style="28"/>
    <col min="5" max="5" width="27.28515625" style="28" customWidth="1"/>
    <col min="6" max="6" width="13.85546875" style="28" customWidth="1"/>
    <col min="7" max="7" width="17.140625" style="28" customWidth="1"/>
    <col min="8" max="16384" width="11.42578125" style="28"/>
  </cols>
  <sheetData>
    <row r="1" spans="1:12" x14ac:dyDescent="0.25">
      <c r="A1" s="27" t="s">
        <v>36</v>
      </c>
      <c r="B1" s="27" t="s">
        <v>44</v>
      </c>
      <c r="C1" s="27" t="s">
        <v>34</v>
      </c>
      <c r="D1" s="27" t="s">
        <v>5</v>
      </c>
      <c r="E1" s="27" t="s">
        <v>35</v>
      </c>
      <c r="F1" s="27" t="s">
        <v>6</v>
      </c>
      <c r="G1" s="27" t="s">
        <v>29</v>
      </c>
      <c r="H1" s="29" t="s">
        <v>13</v>
      </c>
      <c r="I1" s="29" t="s">
        <v>4</v>
      </c>
      <c r="L1" s="28">
        <f ca="1">OFFSET(A1,COUNTA(A:A)-1,0,COUNTA(A1:A1),1)</f>
        <v>16</v>
      </c>
    </row>
    <row r="2" spans="1:12" x14ac:dyDescent="0.25">
      <c r="A2" s="28">
        <v>1</v>
      </c>
      <c r="B2" s="30">
        <v>45295</v>
      </c>
      <c r="C2" s="28" t="s">
        <v>27</v>
      </c>
      <c r="D2" s="28">
        <v>20</v>
      </c>
      <c r="E2" s="28" t="s">
        <v>15</v>
      </c>
      <c r="F2" s="28" t="s">
        <v>7</v>
      </c>
      <c r="G2" s="28" t="s">
        <v>30</v>
      </c>
      <c r="I2" s="28">
        <v>200</v>
      </c>
    </row>
    <row r="3" spans="1:12" x14ac:dyDescent="0.25">
      <c r="A3" s="28">
        <v>2</v>
      </c>
      <c r="B3" s="30">
        <v>45375</v>
      </c>
      <c r="C3" s="30" t="s">
        <v>27</v>
      </c>
      <c r="D3" s="28">
        <v>2</v>
      </c>
      <c r="E3" s="30" t="s">
        <v>45</v>
      </c>
      <c r="F3" s="30" t="s">
        <v>7</v>
      </c>
      <c r="G3" s="30" t="s">
        <v>30</v>
      </c>
      <c r="H3" s="30"/>
      <c r="I3" s="28">
        <v>20</v>
      </c>
    </row>
    <row r="4" spans="1:12" x14ac:dyDescent="0.25">
      <c r="A4" s="28">
        <v>2</v>
      </c>
      <c r="B4" s="30">
        <v>45375</v>
      </c>
      <c r="C4" s="28" t="s">
        <v>27</v>
      </c>
      <c r="D4" s="28">
        <v>2</v>
      </c>
      <c r="E4" s="28" t="s">
        <v>47</v>
      </c>
      <c r="F4" s="28" t="s">
        <v>7</v>
      </c>
      <c r="G4" s="28" t="s">
        <v>30</v>
      </c>
      <c r="I4" s="28">
        <v>20</v>
      </c>
    </row>
    <row r="5" spans="1:12" x14ac:dyDescent="0.25">
      <c r="A5" s="28">
        <v>2</v>
      </c>
      <c r="B5" s="30">
        <v>45375</v>
      </c>
      <c r="C5" s="28" t="s">
        <v>27</v>
      </c>
      <c r="D5" s="28">
        <v>10</v>
      </c>
      <c r="E5" s="28" t="s">
        <v>23</v>
      </c>
      <c r="F5" s="28" t="s">
        <v>7</v>
      </c>
      <c r="G5" s="28" t="s">
        <v>33</v>
      </c>
      <c r="I5" s="28">
        <v>100</v>
      </c>
    </row>
    <row r="6" spans="1:12" x14ac:dyDescent="0.25">
      <c r="A6" s="28">
        <v>2</v>
      </c>
      <c r="B6" s="30">
        <v>45375</v>
      </c>
      <c r="C6" s="28" t="s">
        <v>27</v>
      </c>
      <c r="D6" s="28">
        <v>5</v>
      </c>
      <c r="E6" s="28" t="s">
        <v>48</v>
      </c>
      <c r="F6" s="28" t="s">
        <v>7</v>
      </c>
      <c r="G6" s="28" t="s">
        <v>33</v>
      </c>
      <c r="I6" s="28">
        <v>50</v>
      </c>
    </row>
    <row r="7" spans="1:12" x14ac:dyDescent="0.25">
      <c r="A7" s="28">
        <v>3</v>
      </c>
      <c r="B7" s="30">
        <v>45405</v>
      </c>
      <c r="C7" s="28" t="s">
        <v>27</v>
      </c>
      <c r="D7" s="28">
        <v>28</v>
      </c>
      <c r="E7" s="28" t="s">
        <v>15</v>
      </c>
      <c r="F7" s="28" t="s">
        <v>7</v>
      </c>
      <c r="G7" s="28" t="s">
        <v>33</v>
      </c>
      <c r="I7" s="28">
        <v>280</v>
      </c>
    </row>
    <row r="8" spans="1:12" x14ac:dyDescent="0.25">
      <c r="A8" s="28">
        <v>3</v>
      </c>
      <c r="B8" s="30">
        <v>45405</v>
      </c>
      <c r="C8" s="28" t="s">
        <v>27</v>
      </c>
      <c r="D8" s="28">
        <v>2</v>
      </c>
      <c r="E8" s="28" t="s">
        <v>25</v>
      </c>
      <c r="F8" s="28" t="s">
        <v>7</v>
      </c>
      <c r="G8" s="28" t="s">
        <v>33</v>
      </c>
      <c r="I8" s="28">
        <v>20</v>
      </c>
    </row>
    <row r="9" spans="1:12" x14ac:dyDescent="0.25">
      <c r="A9" s="28">
        <v>3</v>
      </c>
      <c r="B9" s="30">
        <v>45405</v>
      </c>
      <c r="C9" s="28" t="s">
        <v>27</v>
      </c>
      <c r="D9" s="28">
        <v>2</v>
      </c>
      <c r="E9" s="28" t="s">
        <v>49</v>
      </c>
      <c r="F9" s="28" t="s">
        <v>7</v>
      </c>
      <c r="G9" s="28" t="s">
        <v>30</v>
      </c>
      <c r="I9" s="28">
        <v>20</v>
      </c>
    </row>
    <row r="10" spans="1:12" x14ac:dyDescent="0.25">
      <c r="A10" s="28">
        <v>4</v>
      </c>
      <c r="B10" s="30">
        <v>45424</v>
      </c>
      <c r="C10" s="28" t="s">
        <v>27</v>
      </c>
      <c r="D10" s="28">
        <v>5</v>
      </c>
      <c r="E10" s="28" t="s">
        <v>22</v>
      </c>
      <c r="F10" s="28" t="s">
        <v>7</v>
      </c>
      <c r="G10" s="28" t="s">
        <v>33</v>
      </c>
      <c r="I10" s="28">
        <v>50</v>
      </c>
    </row>
    <row r="11" spans="1:12" x14ac:dyDescent="0.25">
      <c r="A11" s="28">
        <v>4</v>
      </c>
      <c r="B11" s="30">
        <v>45424</v>
      </c>
      <c r="C11" s="28" t="s">
        <v>27</v>
      </c>
      <c r="D11" s="28">
        <v>10</v>
      </c>
      <c r="E11" s="28" t="s">
        <v>23</v>
      </c>
      <c r="F11" s="28" t="s">
        <v>7</v>
      </c>
      <c r="G11" s="28" t="s">
        <v>33</v>
      </c>
      <c r="I11" s="28">
        <v>100</v>
      </c>
    </row>
    <row r="12" spans="1:12" x14ac:dyDescent="0.25">
      <c r="A12" s="28">
        <v>4</v>
      </c>
      <c r="B12" s="30">
        <v>45424</v>
      </c>
      <c r="C12" s="28" t="s">
        <v>27</v>
      </c>
      <c r="D12" s="28">
        <v>5</v>
      </c>
      <c r="E12" s="28" t="s">
        <v>48</v>
      </c>
      <c r="F12" s="28" t="s">
        <v>7</v>
      </c>
      <c r="G12" s="28" t="s">
        <v>33</v>
      </c>
      <c r="I12" s="28">
        <v>50</v>
      </c>
    </row>
    <row r="13" spans="1:12" x14ac:dyDescent="0.25">
      <c r="A13" s="28">
        <v>4</v>
      </c>
      <c r="B13" s="30">
        <v>45424</v>
      </c>
      <c r="C13" s="28" t="s">
        <v>27</v>
      </c>
      <c r="D13" s="28">
        <v>4</v>
      </c>
      <c r="E13" s="28" t="s">
        <v>23</v>
      </c>
      <c r="F13" s="28" t="s">
        <v>7</v>
      </c>
      <c r="G13" s="28" t="s">
        <v>30</v>
      </c>
      <c r="I13" s="28">
        <v>40</v>
      </c>
    </row>
    <row r="14" spans="1:12" x14ac:dyDescent="0.25">
      <c r="A14" s="28">
        <v>4</v>
      </c>
      <c r="B14" s="30">
        <v>45424</v>
      </c>
      <c r="C14" s="28" t="s">
        <v>27</v>
      </c>
      <c r="D14" s="28">
        <v>2</v>
      </c>
      <c r="E14" s="28" t="s">
        <v>48</v>
      </c>
      <c r="F14" s="28" t="s">
        <v>7</v>
      </c>
      <c r="G14" s="28" t="s">
        <v>30</v>
      </c>
      <c r="I14" s="28">
        <v>20</v>
      </c>
    </row>
    <row r="15" spans="1:12" x14ac:dyDescent="0.25">
      <c r="A15" s="28">
        <v>5</v>
      </c>
      <c r="B15" s="30">
        <v>45443</v>
      </c>
      <c r="C15" s="28" t="s">
        <v>27</v>
      </c>
      <c r="D15" s="28">
        <v>2</v>
      </c>
      <c r="E15" s="28" t="s">
        <v>22</v>
      </c>
      <c r="F15" s="28" t="s">
        <v>7</v>
      </c>
      <c r="G15" s="28" t="s">
        <v>30</v>
      </c>
      <c r="I15" s="28">
        <v>20</v>
      </c>
    </row>
    <row r="16" spans="1:12" x14ac:dyDescent="0.25">
      <c r="A16" s="28">
        <v>5</v>
      </c>
      <c r="B16" s="30">
        <v>45443</v>
      </c>
      <c r="C16" s="28" t="s">
        <v>27</v>
      </c>
      <c r="D16" s="28">
        <v>2</v>
      </c>
      <c r="E16" s="28" t="s">
        <v>50</v>
      </c>
      <c r="F16" s="28" t="s">
        <v>7</v>
      </c>
      <c r="G16" s="28" t="s">
        <v>30</v>
      </c>
      <c r="I16" s="28">
        <v>20</v>
      </c>
    </row>
    <row r="17" spans="1:9" x14ac:dyDescent="0.25">
      <c r="A17" s="28">
        <v>5</v>
      </c>
      <c r="B17" s="30">
        <v>45443</v>
      </c>
      <c r="C17" s="28" t="s">
        <v>27</v>
      </c>
      <c r="D17" s="28">
        <v>2</v>
      </c>
      <c r="E17" s="28" t="s">
        <v>50</v>
      </c>
      <c r="F17" s="28" t="s">
        <v>9</v>
      </c>
      <c r="G17" s="28" t="s">
        <v>31</v>
      </c>
      <c r="I17" s="28">
        <v>20</v>
      </c>
    </row>
    <row r="18" spans="1:9" x14ac:dyDescent="0.25">
      <c r="A18" s="28">
        <v>5</v>
      </c>
      <c r="B18" s="30">
        <v>45443</v>
      </c>
      <c r="C18" s="28" t="s">
        <v>27</v>
      </c>
      <c r="D18" s="28">
        <v>3</v>
      </c>
      <c r="E18" s="28" t="s">
        <v>50</v>
      </c>
      <c r="F18" s="28" t="s">
        <v>7</v>
      </c>
      <c r="G18" s="28" t="s">
        <v>33</v>
      </c>
      <c r="I18" s="28">
        <v>30</v>
      </c>
    </row>
    <row r="19" spans="1:9" x14ac:dyDescent="0.25">
      <c r="A19" s="28">
        <v>6</v>
      </c>
      <c r="B19" s="30">
        <v>45461</v>
      </c>
      <c r="C19" s="28" t="s">
        <v>27</v>
      </c>
      <c r="D19" s="28">
        <v>10</v>
      </c>
      <c r="E19" s="28" t="s">
        <v>23</v>
      </c>
      <c r="F19" s="28" t="s">
        <v>7</v>
      </c>
      <c r="G19" s="28" t="s">
        <v>33</v>
      </c>
      <c r="I19" s="28">
        <v>100</v>
      </c>
    </row>
    <row r="20" spans="1:9" x14ac:dyDescent="0.25">
      <c r="A20" s="28">
        <v>6</v>
      </c>
      <c r="B20" s="30">
        <v>45461</v>
      </c>
      <c r="C20" s="28" t="s">
        <v>27</v>
      </c>
      <c r="D20" s="28">
        <v>5</v>
      </c>
      <c r="E20" s="28" t="s">
        <v>48</v>
      </c>
      <c r="F20" s="28" t="s">
        <v>7</v>
      </c>
      <c r="G20" s="28" t="s">
        <v>33</v>
      </c>
      <c r="I20" s="28">
        <v>50</v>
      </c>
    </row>
    <row r="21" spans="1:9" x14ac:dyDescent="0.25">
      <c r="A21" s="28">
        <v>6</v>
      </c>
      <c r="B21" s="30">
        <v>45461</v>
      </c>
      <c r="C21" s="28" t="s">
        <v>27</v>
      </c>
      <c r="D21" s="28">
        <v>2</v>
      </c>
      <c r="E21" s="28" t="s">
        <v>23</v>
      </c>
      <c r="F21" s="28" t="s">
        <v>7</v>
      </c>
      <c r="G21" s="28" t="s">
        <v>30</v>
      </c>
      <c r="I21" s="28">
        <v>20</v>
      </c>
    </row>
    <row r="22" spans="1:9" x14ac:dyDescent="0.25">
      <c r="A22" s="28">
        <v>6</v>
      </c>
      <c r="B22" s="30">
        <v>45461</v>
      </c>
      <c r="C22" s="28" t="s">
        <v>27</v>
      </c>
      <c r="D22" s="28">
        <v>1</v>
      </c>
      <c r="E22" s="28" t="s">
        <v>48</v>
      </c>
      <c r="F22" s="28" t="s">
        <v>7</v>
      </c>
      <c r="G22" s="28" t="s">
        <v>30</v>
      </c>
      <c r="I22" s="28">
        <v>10</v>
      </c>
    </row>
    <row r="23" spans="1:9" x14ac:dyDescent="0.25">
      <c r="A23" s="28">
        <v>6</v>
      </c>
      <c r="B23" s="30">
        <v>45461</v>
      </c>
      <c r="C23" s="28" t="s">
        <v>27</v>
      </c>
      <c r="D23" s="28">
        <v>8</v>
      </c>
      <c r="E23" s="28" t="s">
        <v>23</v>
      </c>
      <c r="F23" s="28" t="s">
        <v>9</v>
      </c>
      <c r="G23" s="28" t="s">
        <v>31</v>
      </c>
      <c r="I23" s="28">
        <v>80</v>
      </c>
    </row>
    <row r="24" spans="1:9" x14ac:dyDescent="0.25">
      <c r="A24" s="28">
        <v>6</v>
      </c>
      <c r="B24" s="30">
        <v>45461</v>
      </c>
      <c r="C24" s="28" t="s">
        <v>27</v>
      </c>
      <c r="D24" s="28">
        <v>4</v>
      </c>
      <c r="E24" s="28" t="s">
        <v>48</v>
      </c>
      <c r="F24" s="28" t="s">
        <v>9</v>
      </c>
      <c r="G24" s="28" t="s">
        <v>31</v>
      </c>
      <c r="I24" s="28">
        <v>40</v>
      </c>
    </row>
    <row r="25" spans="1:9" x14ac:dyDescent="0.25">
      <c r="A25" s="28">
        <v>7</v>
      </c>
      <c r="B25" s="30">
        <v>45474</v>
      </c>
      <c r="C25" s="28" t="s">
        <v>27</v>
      </c>
      <c r="D25" s="28">
        <v>15</v>
      </c>
      <c r="E25" s="28" t="s">
        <v>15</v>
      </c>
      <c r="F25" s="28" t="s">
        <v>9</v>
      </c>
      <c r="G25" s="28" t="s">
        <v>31</v>
      </c>
      <c r="I25" s="28">
        <v>150</v>
      </c>
    </row>
    <row r="26" spans="1:9" x14ac:dyDescent="0.25">
      <c r="A26" s="28">
        <v>7</v>
      </c>
      <c r="B26" s="30">
        <v>45474</v>
      </c>
      <c r="C26" s="28" t="s">
        <v>27</v>
      </c>
      <c r="D26" s="28">
        <v>3</v>
      </c>
      <c r="E26" s="28" t="s">
        <v>22</v>
      </c>
      <c r="F26" s="28" t="s">
        <v>9</v>
      </c>
      <c r="G26" s="28" t="s">
        <v>31</v>
      </c>
      <c r="I26" s="28">
        <v>30</v>
      </c>
    </row>
    <row r="27" spans="1:9" x14ac:dyDescent="0.25">
      <c r="A27" s="28">
        <v>7</v>
      </c>
      <c r="B27" s="30">
        <v>45474</v>
      </c>
      <c r="C27" s="28" t="s">
        <v>27</v>
      </c>
      <c r="D27" s="28">
        <v>2</v>
      </c>
      <c r="E27" s="28" t="s">
        <v>22</v>
      </c>
      <c r="F27" s="28" t="s">
        <v>7</v>
      </c>
      <c r="G27" s="28" t="s">
        <v>30</v>
      </c>
      <c r="I27" s="28">
        <v>20</v>
      </c>
    </row>
    <row r="28" spans="1:9" x14ac:dyDescent="0.25">
      <c r="A28" s="28">
        <v>8</v>
      </c>
      <c r="B28" s="30">
        <v>45495</v>
      </c>
      <c r="C28" s="28" t="s">
        <v>27</v>
      </c>
      <c r="D28" s="28">
        <v>5</v>
      </c>
      <c r="E28" s="28" t="s">
        <v>22</v>
      </c>
      <c r="F28" s="28" t="s">
        <v>7</v>
      </c>
      <c r="G28" s="28" t="s">
        <v>33</v>
      </c>
      <c r="I28" s="28">
        <v>50</v>
      </c>
    </row>
    <row r="29" spans="1:9" x14ac:dyDescent="0.25">
      <c r="A29" s="28">
        <v>8</v>
      </c>
      <c r="B29" s="30">
        <v>45495</v>
      </c>
      <c r="C29" s="28" t="s">
        <v>27</v>
      </c>
      <c r="D29" s="28">
        <v>12</v>
      </c>
      <c r="E29" s="28" t="s">
        <v>20</v>
      </c>
      <c r="F29" s="28" t="s">
        <v>7</v>
      </c>
      <c r="G29" s="28" t="s">
        <v>33</v>
      </c>
      <c r="I29" s="28">
        <v>120</v>
      </c>
    </row>
    <row r="30" spans="1:9" x14ac:dyDescent="0.25">
      <c r="A30" s="28">
        <v>8</v>
      </c>
      <c r="B30" s="30">
        <v>45495</v>
      </c>
      <c r="C30" s="28" t="s">
        <v>27</v>
      </c>
      <c r="D30" s="28">
        <v>3</v>
      </c>
      <c r="E30" s="28" t="s">
        <v>20</v>
      </c>
      <c r="F30" s="28" t="s">
        <v>9</v>
      </c>
      <c r="G30" s="28" t="s">
        <v>31</v>
      </c>
      <c r="I30" s="28">
        <v>30</v>
      </c>
    </row>
    <row r="31" spans="1:9" x14ac:dyDescent="0.25">
      <c r="A31" s="28">
        <v>8</v>
      </c>
      <c r="B31" s="30">
        <v>45495</v>
      </c>
      <c r="C31" s="28" t="s">
        <v>27</v>
      </c>
      <c r="D31" s="28">
        <v>2</v>
      </c>
      <c r="E31" s="28" t="s">
        <v>51</v>
      </c>
      <c r="F31" s="28" t="s">
        <v>7</v>
      </c>
      <c r="G31" s="28" t="s">
        <v>33</v>
      </c>
      <c r="I31" s="28">
        <v>20</v>
      </c>
    </row>
    <row r="32" spans="1:9" x14ac:dyDescent="0.25">
      <c r="A32" s="28">
        <v>8</v>
      </c>
      <c r="B32" s="30">
        <v>45495</v>
      </c>
      <c r="C32" s="28" t="s">
        <v>27</v>
      </c>
      <c r="D32" s="28">
        <v>1</v>
      </c>
      <c r="E32" s="28" t="s">
        <v>51</v>
      </c>
      <c r="F32" s="28" t="s">
        <v>7</v>
      </c>
      <c r="G32" s="28" t="s">
        <v>30</v>
      </c>
      <c r="I32" s="28">
        <v>10</v>
      </c>
    </row>
    <row r="33" spans="1:9" x14ac:dyDescent="0.25">
      <c r="A33" s="28">
        <v>8</v>
      </c>
      <c r="B33" s="30">
        <v>45495</v>
      </c>
      <c r="C33" s="28" t="s">
        <v>27</v>
      </c>
      <c r="D33" s="28">
        <v>2</v>
      </c>
      <c r="E33" s="28" t="s">
        <v>45</v>
      </c>
      <c r="F33" s="28" t="s">
        <v>7</v>
      </c>
      <c r="G33" s="28" t="s">
        <v>33</v>
      </c>
      <c r="I33" s="28">
        <v>20</v>
      </c>
    </row>
    <row r="34" spans="1:9" x14ac:dyDescent="0.25">
      <c r="A34" s="28">
        <v>8</v>
      </c>
      <c r="B34" s="30">
        <v>45495</v>
      </c>
      <c r="C34" s="28" t="s">
        <v>27</v>
      </c>
      <c r="D34" s="28">
        <v>2</v>
      </c>
      <c r="E34" s="28" t="s">
        <v>45</v>
      </c>
      <c r="F34" s="28" t="s">
        <v>9</v>
      </c>
      <c r="G34" s="28" t="s">
        <v>31</v>
      </c>
      <c r="I34" s="28">
        <v>20</v>
      </c>
    </row>
    <row r="35" spans="1:9" x14ac:dyDescent="0.25">
      <c r="A35" s="28">
        <v>9</v>
      </c>
      <c r="B35" s="30">
        <v>45512</v>
      </c>
      <c r="C35" s="28" t="s">
        <v>27</v>
      </c>
      <c r="D35" s="28">
        <v>12</v>
      </c>
      <c r="E35" s="28" t="s">
        <v>52</v>
      </c>
      <c r="F35" s="28" t="s">
        <v>9</v>
      </c>
      <c r="G35" s="28" t="s">
        <v>31</v>
      </c>
      <c r="I35" s="28">
        <v>120</v>
      </c>
    </row>
    <row r="36" spans="1:9" x14ac:dyDescent="0.25">
      <c r="A36" s="28">
        <v>9</v>
      </c>
      <c r="B36" s="30">
        <v>45512</v>
      </c>
      <c r="C36" s="28" t="s">
        <v>27</v>
      </c>
      <c r="D36" s="28">
        <v>2</v>
      </c>
      <c r="E36" s="28" t="s">
        <v>17</v>
      </c>
      <c r="F36" s="28" t="s">
        <v>7</v>
      </c>
      <c r="G36" s="28" t="s">
        <v>33</v>
      </c>
      <c r="I36" s="28">
        <v>20</v>
      </c>
    </row>
    <row r="37" spans="1:9" x14ac:dyDescent="0.25">
      <c r="A37" s="28">
        <v>9</v>
      </c>
      <c r="B37" s="30">
        <v>45512</v>
      </c>
      <c r="C37" s="28" t="s">
        <v>27</v>
      </c>
      <c r="D37" s="28">
        <v>1</v>
      </c>
      <c r="E37" s="28" t="s">
        <v>17</v>
      </c>
      <c r="F37" s="28" t="s">
        <v>7</v>
      </c>
      <c r="G37" s="28" t="s">
        <v>30</v>
      </c>
      <c r="I37" s="28">
        <v>10</v>
      </c>
    </row>
    <row r="38" spans="1:9" x14ac:dyDescent="0.25">
      <c r="A38" s="28">
        <v>10</v>
      </c>
      <c r="B38" s="30">
        <v>45524</v>
      </c>
      <c r="C38" s="28" t="s">
        <v>27</v>
      </c>
      <c r="D38" s="28">
        <v>10</v>
      </c>
      <c r="E38" s="28" t="s">
        <v>23</v>
      </c>
      <c r="F38" s="28" t="s">
        <v>7</v>
      </c>
      <c r="G38" s="28" t="s">
        <v>33</v>
      </c>
      <c r="I38" s="28">
        <v>100</v>
      </c>
    </row>
    <row r="39" spans="1:9" x14ac:dyDescent="0.25">
      <c r="A39" s="28">
        <v>10</v>
      </c>
      <c r="B39" s="30">
        <v>45524</v>
      </c>
      <c r="C39" s="28" t="s">
        <v>27</v>
      </c>
      <c r="D39" s="28">
        <v>5</v>
      </c>
      <c r="E39" s="28" t="s">
        <v>48</v>
      </c>
      <c r="F39" s="28" t="s">
        <v>7</v>
      </c>
      <c r="G39" s="28" t="s">
        <v>33</v>
      </c>
      <c r="I39" s="28">
        <v>50</v>
      </c>
    </row>
    <row r="40" spans="1:9" x14ac:dyDescent="0.25">
      <c r="A40" s="28">
        <v>10</v>
      </c>
      <c r="B40" s="30">
        <v>45524</v>
      </c>
      <c r="C40" s="28" t="s">
        <v>27</v>
      </c>
      <c r="D40" s="28">
        <v>5</v>
      </c>
      <c r="E40" s="28" t="s">
        <v>22</v>
      </c>
      <c r="F40" s="28" t="s">
        <v>7</v>
      </c>
      <c r="G40" s="28" t="s">
        <v>33</v>
      </c>
      <c r="I40" s="28">
        <v>50</v>
      </c>
    </row>
    <row r="41" spans="1:9" x14ac:dyDescent="0.25">
      <c r="A41" s="28">
        <v>10</v>
      </c>
      <c r="B41" s="30">
        <v>45524</v>
      </c>
      <c r="C41" s="28" t="s">
        <v>27</v>
      </c>
      <c r="D41" s="28">
        <v>3</v>
      </c>
      <c r="E41" s="28" t="s">
        <v>22</v>
      </c>
      <c r="F41" s="28" t="s">
        <v>9</v>
      </c>
      <c r="G41" s="28" t="s">
        <v>31</v>
      </c>
      <c r="I41" s="28">
        <v>30</v>
      </c>
    </row>
    <row r="42" spans="1:9" x14ac:dyDescent="0.25">
      <c r="A42" s="28">
        <v>10</v>
      </c>
      <c r="B42" s="30">
        <v>45524</v>
      </c>
      <c r="C42" s="28" t="s">
        <v>27</v>
      </c>
      <c r="D42" s="28">
        <v>1</v>
      </c>
      <c r="E42" s="28" t="s">
        <v>22</v>
      </c>
      <c r="F42" s="28" t="s">
        <v>7</v>
      </c>
      <c r="G42" s="28" t="s">
        <v>30</v>
      </c>
      <c r="I42" s="28">
        <v>10</v>
      </c>
    </row>
    <row r="43" spans="1:9" x14ac:dyDescent="0.25">
      <c r="A43" s="28">
        <v>11</v>
      </c>
      <c r="B43" s="30">
        <v>45538</v>
      </c>
      <c r="C43" s="28" t="s">
        <v>27</v>
      </c>
      <c r="D43" s="28">
        <v>4</v>
      </c>
      <c r="E43" s="28" t="s">
        <v>23</v>
      </c>
      <c r="F43" s="28" t="s">
        <v>7</v>
      </c>
      <c r="G43" s="28" t="s">
        <v>30</v>
      </c>
      <c r="I43" s="28">
        <v>40</v>
      </c>
    </row>
    <row r="44" spans="1:9" x14ac:dyDescent="0.25">
      <c r="A44" s="28">
        <v>11</v>
      </c>
      <c r="B44" s="30">
        <v>45538</v>
      </c>
      <c r="C44" s="28" t="s">
        <v>27</v>
      </c>
      <c r="D44" s="28">
        <v>3</v>
      </c>
      <c r="E44" s="28" t="s">
        <v>48</v>
      </c>
      <c r="F44" s="28" t="s">
        <v>7</v>
      </c>
      <c r="G44" s="28" t="s">
        <v>30</v>
      </c>
      <c r="I44" s="28">
        <v>30</v>
      </c>
    </row>
    <row r="45" spans="1:9" x14ac:dyDescent="0.25">
      <c r="A45" s="28">
        <v>12</v>
      </c>
      <c r="B45" s="30">
        <v>45561</v>
      </c>
      <c r="C45" s="28" t="s">
        <v>27</v>
      </c>
      <c r="D45" s="28">
        <v>35</v>
      </c>
      <c r="E45" s="28" t="s">
        <v>19</v>
      </c>
      <c r="F45" s="28" t="s">
        <v>7</v>
      </c>
      <c r="G45" s="28" t="s">
        <v>33</v>
      </c>
      <c r="I45" s="28">
        <v>350</v>
      </c>
    </row>
    <row r="46" spans="1:9" x14ac:dyDescent="0.25">
      <c r="A46" s="28">
        <v>12</v>
      </c>
      <c r="B46" s="30">
        <v>45561</v>
      </c>
      <c r="C46" s="28" t="s">
        <v>27</v>
      </c>
      <c r="D46" s="28">
        <v>5</v>
      </c>
      <c r="E46" s="28" t="s">
        <v>20</v>
      </c>
      <c r="F46" s="28" t="s">
        <v>7</v>
      </c>
      <c r="G46" s="28" t="s">
        <v>33</v>
      </c>
      <c r="I46" s="28">
        <v>50</v>
      </c>
    </row>
    <row r="47" spans="1:9" x14ac:dyDescent="0.25">
      <c r="A47" s="28">
        <v>13</v>
      </c>
      <c r="B47" s="30">
        <v>45578</v>
      </c>
      <c r="C47" s="28" t="s">
        <v>27</v>
      </c>
      <c r="D47" s="28">
        <v>8</v>
      </c>
      <c r="E47" s="28" t="s">
        <v>23</v>
      </c>
      <c r="F47" s="28" t="s">
        <v>9</v>
      </c>
      <c r="G47" s="28" t="s">
        <v>31</v>
      </c>
      <c r="I47" s="28">
        <v>80</v>
      </c>
    </row>
    <row r="48" spans="1:9" x14ac:dyDescent="0.25">
      <c r="A48" s="28">
        <v>13</v>
      </c>
      <c r="B48" s="30">
        <v>45578</v>
      </c>
      <c r="C48" s="28" t="s">
        <v>27</v>
      </c>
      <c r="D48" s="28">
        <v>4</v>
      </c>
      <c r="E48" s="28" t="s">
        <v>48</v>
      </c>
      <c r="F48" s="28" t="s">
        <v>9</v>
      </c>
      <c r="G48" s="28" t="s">
        <v>31</v>
      </c>
      <c r="I48" s="28">
        <v>40</v>
      </c>
    </row>
    <row r="49" spans="1:9" x14ac:dyDescent="0.25">
      <c r="A49" s="28">
        <v>14</v>
      </c>
      <c r="B49" s="30">
        <v>45622</v>
      </c>
      <c r="C49" s="28" t="s">
        <v>27</v>
      </c>
      <c r="D49" s="28">
        <v>5</v>
      </c>
      <c r="E49" s="28" t="s">
        <v>22</v>
      </c>
      <c r="F49" s="28" t="s">
        <v>7</v>
      </c>
      <c r="G49" s="28" t="s">
        <v>33</v>
      </c>
      <c r="I49" s="28">
        <v>50</v>
      </c>
    </row>
    <row r="50" spans="1:9" x14ac:dyDescent="0.25">
      <c r="A50" s="28">
        <v>14</v>
      </c>
      <c r="B50" s="30">
        <v>45622</v>
      </c>
      <c r="C50" s="28" t="s">
        <v>27</v>
      </c>
      <c r="D50" s="28">
        <v>4</v>
      </c>
      <c r="E50" s="28" t="s">
        <v>22</v>
      </c>
      <c r="F50" s="28" t="s">
        <v>9</v>
      </c>
      <c r="G50" s="28" t="s">
        <v>31</v>
      </c>
      <c r="I50" s="28">
        <v>40</v>
      </c>
    </row>
    <row r="51" spans="1:9" x14ac:dyDescent="0.25">
      <c r="A51" s="28">
        <v>14</v>
      </c>
      <c r="B51" s="30">
        <v>45622</v>
      </c>
      <c r="C51" s="28" t="s">
        <v>27</v>
      </c>
      <c r="D51" s="28">
        <v>2</v>
      </c>
      <c r="E51" s="28" t="s">
        <v>22</v>
      </c>
      <c r="F51" s="28" t="s">
        <v>7</v>
      </c>
      <c r="G51" s="28" t="s">
        <v>30</v>
      </c>
      <c r="I51" s="28">
        <v>20</v>
      </c>
    </row>
    <row r="52" spans="1:9" x14ac:dyDescent="0.25">
      <c r="A52" s="28">
        <v>15</v>
      </c>
      <c r="B52" s="30">
        <v>45346</v>
      </c>
      <c r="C52" s="28" t="s">
        <v>28</v>
      </c>
      <c r="D52" s="28">
        <v>20</v>
      </c>
      <c r="E52" s="28" t="s">
        <v>15</v>
      </c>
      <c r="F52" s="28" t="s">
        <v>10</v>
      </c>
      <c r="G52" s="28" t="s">
        <v>30</v>
      </c>
      <c r="I52" s="28">
        <v>200</v>
      </c>
    </row>
    <row r="53" spans="1:9" x14ac:dyDescent="0.25">
      <c r="A53" s="28">
        <v>16</v>
      </c>
      <c r="B53" s="30">
        <v>45375</v>
      </c>
      <c r="C53" s="28" t="s">
        <v>28</v>
      </c>
      <c r="D53" s="28">
        <v>5</v>
      </c>
      <c r="E53" s="28" t="s">
        <v>47</v>
      </c>
      <c r="F53" s="28" t="s">
        <v>10</v>
      </c>
      <c r="G53" s="28" t="s">
        <v>30</v>
      </c>
      <c r="I53" s="28">
        <v>50</v>
      </c>
    </row>
    <row r="54" spans="1:9" x14ac:dyDescent="0.25">
      <c r="A54" s="28">
        <v>16</v>
      </c>
      <c r="B54" s="30">
        <v>45375</v>
      </c>
      <c r="C54" s="28" t="s">
        <v>28</v>
      </c>
      <c r="D54" s="28">
        <v>5</v>
      </c>
      <c r="E54" s="28" t="s">
        <v>23</v>
      </c>
      <c r="F54" s="28" t="s">
        <v>10</v>
      </c>
      <c r="G54" s="28" t="s">
        <v>30</v>
      </c>
      <c r="I54" s="28">
        <v>50</v>
      </c>
    </row>
    <row r="55" spans="1:9" x14ac:dyDescent="0.25">
      <c r="A55" s="28">
        <v>16</v>
      </c>
      <c r="B55" s="30">
        <v>45375</v>
      </c>
      <c r="C55" s="28" t="s">
        <v>28</v>
      </c>
      <c r="D55" s="28">
        <v>2</v>
      </c>
      <c r="E55" s="28" t="s">
        <v>48</v>
      </c>
      <c r="F55" s="28" t="s">
        <v>10</v>
      </c>
      <c r="G55" s="28" t="s">
        <v>30</v>
      </c>
      <c r="I55" s="28">
        <v>20</v>
      </c>
    </row>
  </sheetData>
  <autoFilter ref="A1:L54" xr:uid="{8C8BD3CF-F82E-4A73-8E03-478C258DC45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957C0-E11B-47B0-959D-5610608C911A}">
  <sheetPr>
    <pageSetUpPr fitToPage="1"/>
  </sheetPr>
  <dimension ref="A1:C92"/>
  <sheetViews>
    <sheetView topLeftCell="A4" workbookViewId="0">
      <selection activeCell="A3" sqref="A3"/>
    </sheetView>
  </sheetViews>
  <sheetFormatPr baseColWidth="10" defaultRowHeight="15" x14ac:dyDescent="0.25"/>
  <cols>
    <col min="1" max="1" width="25.7109375" bestFit="1" customWidth="1"/>
    <col min="2" max="2" width="14.5703125" style="28" bestFit="1" customWidth="1"/>
    <col min="3" max="3" width="14" style="28" bestFit="1" customWidth="1"/>
    <col min="4" max="4" width="11.140625" bestFit="1" customWidth="1"/>
  </cols>
  <sheetData>
    <row r="1" spans="1:3" x14ac:dyDescent="0.25">
      <c r="A1" s="31" t="s">
        <v>53</v>
      </c>
      <c r="B1" s="35" t="s">
        <v>56</v>
      </c>
      <c r="C1" s="35" t="s">
        <v>55</v>
      </c>
    </row>
    <row r="2" spans="1:3" x14ac:dyDescent="0.25">
      <c r="A2" s="33" t="s">
        <v>7</v>
      </c>
      <c r="B2" s="36">
        <v>2240</v>
      </c>
      <c r="C2" s="40">
        <v>224</v>
      </c>
    </row>
    <row r="3" spans="1:3" x14ac:dyDescent="0.25">
      <c r="A3" s="32" t="s">
        <v>33</v>
      </c>
      <c r="B3" s="36">
        <v>1710</v>
      </c>
      <c r="C3" s="40">
        <v>171</v>
      </c>
    </row>
    <row r="4" spans="1:3" x14ac:dyDescent="0.25">
      <c r="A4" s="32" t="s">
        <v>30</v>
      </c>
      <c r="B4" s="36">
        <v>530</v>
      </c>
      <c r="C4" s="40">
        <v>53</v>
      </c>
    </row>
    <row r="5" spans="1:3" x14ac:dyDescent="0.25">
      <c r="A5" s="33" t="s">
        <v>9</v>
      </c>
      <c r="B5" s="36">
        <v>680</v>
      </c>
      <c r="C5" s="40">
        <v>68</v>
      </c>
    </row>
    <row r="6" spans="1:3" x14ac:dyDescent="0.25">
      <c r="A6" s="32" t="s">
        <v>31</v>
      </c>
      <c r="B6" s="36">
        <v>680</v>
      </c>
      <c r="C6" s="40">
        <v>68</v>
      </c>
    </row>
    <row r="7" spans="1:3" x14ac:dyDescent="0.25">
      <c r="A7" s="34" t="s">
        <v>50</v>
      </c>
      <c r="B7" s="36">
        <v>20</v>
      </c>
      <c r="C7" s="40">
        <v>2</v>
      </c>
    </row>
    <row r="8" spans="1:3" x14ac:dyDescent="0.25">
      <c r="A8" s="39">
        <v>45443</v>
      </c>
      <c r="B8" s="36">
        <v>20</v>
      </c>
      <c r="C8" s="40">
        <v>2</v>
      </c>
    </row>
    <row r="9" spans="1:3" x14ac:dyDescent="0.25">
      <c r="A9" s="34" t="s">
        <v>20</v>
      </c>
      <c r="B9" s="36">
        <v>30</v>
      </c>
      <c r="C9" s="40">
        <v>3</v>
      </c>
    </row>
    <row r="10" spans="1:3" x14ac:dyDescent="0.25">
      <c r="A10" s="39">
        <v>45495</v>
      </c>
      <c r="B10" s="36">
        <v>30</v>
      </c>
      <c r="C10" s="40">
        <v>3</v>
      </c>
    </row>
    <row r="11" spans="1:3" x14ac:dyDescent="0.25">
      <c r="A11" s="34" t="s">
        <v>52</v>
      </c>
      <c r="B11" s="36">
        <v>120</v>
      </c>
      <c r="C11" s="40">
        <v>12</v>
      </c>
    </row>
    <row r="12" spans="1:3" x14ac:dyDescent="0.25">
      <c r="A12" s="39">
        <v>45512</v>
      </c>
      <c r="B12" s="36">
        <v>120</v>
      </c>
      <c r="C12" s="40">
        <v>12</v>
      </c>
    </row>
    <row r="13" spans="1:3" x14ac:dyDescent="0.25">
      <c r="A13" s="34" t="s">
        <v>48</v>
      </c>
      <c r="B13" s="36">
        <v>80</v>
      </c>
      <c r="C13" s="40">
        <v>8</v>
      </c>
    </row>
    <row r="14" spans="1:3" x14ac:dyDescent="0.25">
      <c r="A14" s="39">
        <v>45461</v>
      </c>
      <c r="B14" s="36">
        <v>40</v>
      </c>
      <c r="C14" s="40">
        <v>4</v>
      </c>
    </row>
    <row r="15" spans="1:3" x14ac:dyDescent="0.25">
      <c r="A15" s="39">
        <v>45578</v>
      </c>
      <c r="B15" s="36">
        <v>40</v>
      </c>
      <c r="C15" s="40">
        <v>4</v>
      </c>
    </row>
    <row r="16" spans="1:3" x14ac:dyDescent="0.25">
      <c r="A16" s="34" t="s">
        <v>22</v>
      </c>
      <c r="B16" s="36">
        <v>100</v>
      </c>
      <c r="C16" s="40">
        <v>10</v>
      </c>
    </row>
    <row r="17" spans="1:3" x14ac:dyDescent="0.25">
      <c r="A17" s="39">
        <v>45474</v>
      </c>
      <c r="B17" s="36">
        <v>30</v>
      </c>
      <c r="C17" s="40">
        <v>3</v>
      </c>
    </row>
    <row r="18" spans="1:3" x14ac:dyDescent="0.25">
      <c r="A18" s="39">
        <v>45524</v>
      </c>
      <c r="B18" s="36">
        <v>30</v>
      </c>
      <c r="C18" s="40">
        <v>3</v>
      </c>
    </row>
    <row r="19" spans="1:3" x14ac:dyDescent="0.25">
      <c r="A19" s="39">
        <v>45622</v>
      </c>
      <c r="B19" s="36">
        <v>40</v>
      </c>
      <c r="C19" s="40">
        <v>4</v>
      </c>
    </row>
    <row r="20" spans="1:3" x14ac:dyDescent="0.25">
      <c r="A20" s="34" t="s">
        <v>15</v>
      </c>
      <c r="B20" s="36">
        <v>150</v>
      </c>
      <c r="C20" s="40">
        <v>15</v>
      </c>
    </row>
    <row r="21" spans="1:3" x14ac:dyDescent="0.25">
      <c r="A21" s="39">
        <v>45474</v>
      </c>
      <c r="B21" s="36">
        <v>150</v>
      </c>
      <c r="C21" s="40">
        <v>15</v>
      </c>
    </row>
    <row r="22" spans="1:3" x14ac:dyDescent="0.25">
      <c r="A22" s="34" t="s">
        <v>23</v>
      </c>
      <c r="B22" s="36">
        <v>160</v>
      </c>
      <c r="C22" s="40">
        <v>16</v>
      </c>
    </row>
    <row r="23" spans="1:3" x14ac:dyDescent="0.25">
      <c r="A23" s="39">
        <v>45461</v>
      </c>
      <c r="B23" s="36">
        <v>80</v>
      </c>
      <c r="C23" s="40">
        <v>8</v>
      </c>
    </row>
    <row r="24" spans="1:3" x14ac:dyDescent="0.25">
      <c r="A24" s="39">
        <v>45578</v>
      </c>
      <c r="B24" s="36">
        <v>80</v>
      </c>
      <c r="C24" s="40">
        <v>8</v>
      </c>
    </row>
    <row r="25" spans="1:3" x14ac:dyDescent="0.25">
      <c r="A25" s="34" t="s">
        <v>45</v>
      </c>
      <c r="B25" s="36">
        <v>20</v>
      </c>
      <c r="C25" s="40">
        <v>2</v>
      </c>
    </row>
    <row r="26" spans="1:3" x14ac:dyDescent="0.25">
      <c r="A26" s="39">
        <v>45495</v>
      </c>
      <c r="B26" s="36">
        <v>20</v>
      </c>
      <c r="C26" s="40">
        <v>2</v>
      </c>
    </row>
    <row r="27" spans="1:3" x14ac:dyDescent="0.25">
      <c r="A27" s="33" t="s">
        <v>54</v>
      </c>
      <c r="B27" s="36">
        <v>2920</v>
      </c>
      <c r="C27" s="40">
        <v>292</v>
      </c>
    </row>
    <row r="28" spans="1:3" x14ac:dyDescent="0.25">
      <c r="B28"/>
      <c r="C28"/>
    </row>
    <row r="29" spans="1:3" x14ac:dyDescent="0.25">
      <c r="B29"/>
      <c r="C29"/>
    </row>
    <row r="30" spans="1:3" x14ac:dyDescent="0.25">
      <c r="B30"/>
      <c r="C30"/>
    </row>
    <row r="31" spans="1:3" x14ac:dyDescent="0.25">
      <c r="B31"/>
      <c r="C31"/>
    </row>
    <row r="32" spans="1:3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</sheetData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Factura</vt:lpstr>
      <vt:lpstr>Clientes</vt:lpstr>
      <vt:lpstr>Listas</vt:lpstr>
      <vt:lpstr>Trabajos</vt:lpstr>
      <vt:lpstr>Gastos por Finca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2025-03-30T05:40:13Z</dcterms:modified>
</cp:coreProperties>
</file>