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filterPrivacy="1" codeName="ThisWorkbook"/>
  <xr:revisionPtr revIDLastSave="0" documentId="13_ncr:1_{C0686134-EFF1-4D8C-AEFF-EE5F88CD64C9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Factura" sheetId="1" r:id="rId1"/>
    <sheet name="Clientes" sheetId="4" r:id="rId2"/>
    <sheet name="Listas" sheetId="2" r:id="rId3"/>
    <sheet name="Trabajos" sheetId="3" r:id="rId4"/>
    <sheet name="Gastos" sheetId="5" r:id="rId5"/>
  </sheets>
  <definedNames>
    <definedName name="NombreCliente">Factura!$C$2</definedName>
    <definedName name="Nombrede_la_empresa">Factura!$B$1</definedName>
    <definedName name="RowTitleRegion1..C7">Factura!$B$2</definedName>
    <definedName name="RowTitleRegion2..G5">Factura!$F$2</definedName>
    <definedName name="RowTitleRegion3..G26">Factura!#REF!</definedName>
    <definedName name="TítuloDeColumna1">Factura[[#Headers],[Horas]]</definedName>
    <definedName name="_xlnm.Print_Titles" localSheetId="0">Factura!$6:$6</definedName>
  </definedNames>
  <calcPr calcId="181029"/>
  <pivotCaches>
    <pivotCache cacheId="2" r:id="rId6"/>
  </pivotCaches>
</workbook>
</file>

<file path=xl/calcChain.xml><?xml version="1.0" encoding="utf-8"?>
<calcChain xmlns="http://schemas.openxmlformats.org/spreadsheetml/2006/main">
  <c r="G8" i="1" l="1"/>
  <c r="G9" i="1"/>
  <c r="G10" i="1"/>
  <c r="G11" i="1"/>
  <c r="G12" i="1"/>
  <c r="G13" i="1"/>
  <c r="G14" i="1"/>
  <c r="G15" i="1"/>
  <c r="G16" i="1"/>
  <c r="G17" i="1"/>
  <c r="G18" i="1"/>
  <c r="G7" i="1"/>
  <c r="L1" i="3" a="1"/>
  <c r="L1" i="3" s="1"/>
  <c r="G2" i="1" s="1"/>
  <c r="G1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BE80FA-BAB0-47C5-B3D6-AD02956A3486}" keepAlive="1" name="Consulta - SimpleInvoice" description="Conexión a la consulta 'SimpleInvoice' en el libro." type="5" refreshedVersion="8" background="1" saveData="1">
    <dbPr connection="Provider=Microsoft.Mashup.OleDb.1;Data Source=$Workbook$;Location=SimpleInvoice;Extended Properties=&quot;&quot;" command="SELECT * FROM [SimpleInvoice]"/>
  </connection>
</connections>
</file>

<file path=xl/sharedStrings.xml><?xml version="1.0" encoding="utf-8"?>
<sst xmlns="http://schemas.openxmlformats.org/spreadsheetml/2006/main" count="287" uniqueCount="73">
  <si>
    <t>Dirección:</t>
  </si>
  <si>
    <t>N.º de factura:</t>
  </si>
  <si>
    <t>Fecha de la factura:</t>
  </si>
  <si>
    <t>TOTAL</t>
  </si>
  <si>
    <t>Precio</t>
  </si>
  <si>
    <t>Horas</t>
  </si>
  <si>
    <t>Variedad</t>
  </si>
  <si>
    <t>Oronul</t>
  </si>
  <si>
    <t>Clemenvilla</t>
  </si>
  <si>
    <t>Ortanique</t>
  </si>
  <si>
    <t>P-23</t>
  </si>
  <si>
    <t>Clemenules</t>
  </si>
  <si>
    <t>Factura para:</t>
  </si>
  <si>
    <t>Parcela</t>
  </si>
  <si>
    <t>Trabajos</t>
  </si>
  <si>
    <t>Podar</t>
  </si>
  <si>
    <t>Quemar leña</t>
  </si>
  <si>
    <t>Abonar</t>
  </si>
  <si>
    <t>Injertar</t>
  </si>
  <si>
    <t>Tirar naranjas</t>
  </si>
  <si>
    <t>Desbordegar</t>
  </si>
  <si>
    <t>Desmamonar</t>
  </si>
  <si>
    <t>Pasar herbicida</t>
  </si>
  <si>
    <t>Pulverizar</t>
  </si>
  <si>
    <t>Atar injertos</t>
  </si>
  <si>
    <t xml:space="preserve">Teléfono: </t>
  </si>
  <si>
    <t>Teresa Miguel Serisuelo</t>
  </si>
  <si>
    <t>Antonio Miguel Serisuelo</t>
  </si>
  <si>
    <t>Partida</t>
  </si>
  <si>
    <t>Salt</t>
  </si>
  <si>
    <t>Camí Artanencs</t>
  </si>
  <si>
    <t>Camí d'Onda</t>
  </si>
  <si>
    <t>La Foia</t>
  </si>
  <si>
    <t>Nombre</t>
  </si>
  <si>
    <t>TrabajoRealizado</t>
  </si>
  <si>
    <t>CodFactura</t>
  </si>
  <si>
    <t>Apellido1</t>
  </si>
  <si>
    <t>Apellido2</t>
  </si>
  <si>
    <t>CodCliente</t>
  </si>
  <si>
    <t>DNI/NIE</t>
  </si>
  <si>
    <t>Dirección</t>
  </si>
  <si>
    <t>Municipio</t>
  </si>
  <si>
    <t>Telefono</t>
  </si>
  <si>
    <t>Fecha</t>
  </si>
  <si>
    <t>Pintar cortes</t>
  </si>
  <si>
    <t>Triturar</t>
  </si>
  <si>
    <t>Poner piquetas</t>
  </si>
  <si>
    <t>Matear plantones</t>
  </si>
  <si>
    <t>Inyectar abono</t>
  </si>
  <si>
    <t>Limpiar goteros</t>
  </si>
  <si>
    <t>Inyectar Hierro</t>
  </si>
  <si>
    <t>Motor de pulverizar</t>
  </si>
  <si>
    <t>Pulverizar Zocas</t>
  </si>
  <si>
    <t>Tirar veneno caracoles</t>
  </si>
  <si>
    <t>Podar plantones</t>
  </si>
  <si>
    <t>Poner mosqueros</t>
  </si>
  <si>
    <t>Pulverizar mosca</t>
  </si>
  <si>
    <t>Presenciar recolección</t>
  </si>
  <si>
    <t>Etiquetas de fila</t>
  </si>
  <si>
    <t>Total general</t>
  </si>
  <si>
    <t>Suma de Horas</t>
  </si>
  <si>
    <t>Suma de Precio</t>
  </si>
  <si>
    <t>(Todas)</t>
  </si>
  <si>
    <t>feb</t>
  </si>
  <si>
    <t>mar</t>
  </si>
  <si>
    <t>abr</t>
  </si>
  <si>
    <t>may</t>
  </si>
  <si>
    <t>jun</t>
  </si>
  <si>
    <t>jul</t>
  </si>
  <si>
    <t>ago</t>
  </si>
  <si>
    <t>sep</t>
  </si>
  <si>
    <t>nov</t>
  </si>
  <si>
    <t>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</si>
</sst>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-* #,##0.00\ &quot;€&quot;_-;\-* #,##0.00\ &quot;€&quot;_-;_-* &quot;-&quot;??\ &quot;€&quot;_-;_-@_-"/>
    <numFmt numFmtId="164" formatCode="_(&quot;$&quot;* #,##0.00_);_(&quot;$&quot;* \(#,##0.00\);_(&quot;$&quot;* &quot;-&quot;??_);_(@_)"/>
    <numFmt numFmtId="165" formatCode="@\ \ "/>
    <numFmt numFmtId="166" formatCode="#_)"/>
    <numFmt numFmtId="167" formatCode="[&lt;=9999999]###\-####;\(###\)\ ###\-####"/>
  </numFmts>
  <fonts count="26" x14ac:knownFonts="1">
    <font>
      <sz val="11"/>
      <color theme="2" tint="-0.749961851863155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4"/>
      <color theme="4" tint="-0.24994659260841701"/>
      <name val="Calibri"/>
      <family val="2"/>
      <scheme val="minor"/>
    </font>
    <font>
      <b/>
      <sz val="25"/>
      <color theme="0"/>
      <name val="Arial"/>
      <family val="2"/>
      <scheme val="major"/>
    </font>
    <font>
      <sz val="11"/>
      <color theme="2" tint="-0.899960325937681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5" tint="-0.24994659260841701"/>
      <name val="Calibri"/>
      <family val="2"/>
      <scheme val="minor"/>
    </font>
    <font>
      <sz val="11"/>
      <color theme="2" tint="-0.89989928891872917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sz val="11"/>
      <color theme="4" tint="-0.499984740745262"/>
      <name val="Arial"/>
      <family val="2"/>
      <scheme val="major"/>
    </font>
    <font>
      <sz val="11"/>
      <color theme="2" tint="-0.749961851863155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2" tint="-0.749961851863155"/>
      <name val="Calibri"/>
      <family val="2"/>
      <scheme val="minor"/>
    </font>
    <font>
      <b/>
      <sz val="16"/>
      <color theme="2" tint="-0.749961851863155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4"/>
      <color theme="2" tint="-0.749961851863155"/>
      <name val="Calibri"/>
      <family val="2"/>
      <scheme val="minor"/>
    </font>
    <font>
      <sz val="14"/>
      <color theme="2" tint="-0.749961851863155"/>
      <name val="Calibri"/>
      <family val="2"/>
      <scheme val="minor"/>
    </font>
    <font>
      <b/>
      <sz val="9"/>
      <color theme="4" tint="-0.499984740745262"/>
      <name val="Arial"/>
      <family val="2"/>
      <scheme val="major"/>
    </font>
    <font>
      <b/>
      <sz val="14"/>
      <name val="Arial"/>
      <family val="2"/>
      <scheme val="major"/>
    </font>
    <font>
      <b/>
      <sz val="9"/>
      <name val="Arial"/>
      <family val="2"/>
      <scheme val="major"/>
    </font>
    <font>
      <b/>
      <sz val="11"/>
      <color theme="7"/>
      <name val="Calibri"/>
      <family val="2"/>
      <scheme val="minor"/>
    </font>
    <font>
      <b/>
      <sz val="11"/>
      <color theme="2" tint="-0.749961851863155"/>
      <name val="Calibri"/>
      <family val="2"/>
      <scheme val="minor"/>
    </font>
    <font>
      <b/>
      <sz val="11"/>
      <color rgb="FF0F576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ck">
        <color theme="4" tint="0.59996337778862885"/>
      </top>
      <bottom/>
      <diagonal/>
    </border>
  </borders>
  <cellStyleXfs count="19">
    <xf numFmtId="0" fontId="0" fillId="0" borderId="0" applyFill="0" applyBorder="0">
      <alignment horizontal="left" vertical="center" wrapText="1" indent="1"/>
    </xf>
    <xf numFmtId="0" fontId="5" fillId="0" borderId="0" applyNumberFormat="0" applyFill="0" applyBorder="0" applyAlignment="0" applyProtection="0"/>
    <xf numFmtId="167" fontId="10" fillId="0" borderId="0" applyFill="0" applyBorder="0" applyProtection="0">
      <alignment vertical="center"/>
    </xf>
    <xf numFmtId="0" fontId="3" fillId="0" borderId="0" applyNumberFormat="0" applyFill="0" applyBorder="0" applyProtection="0">
      <alignment horizontal="left" vertical="center" indent="1"/>
    </xf>
    <xf numFmtId="10" fontId="12" fillId="0" borderId="0" applyFill="0" applyBorder="0" applyProtection="0">
      <alignment horizontal="right" vertical="center"/>
    </xf>
    <xf numFmtId="0" fontId="5" fillId="0" borderId="0" applyNumberFormat="0" applyFill="0" applyBorder="0" applyAlignment="0" applyProtection="0">
      <alignment vertical="top" wrapText="1"/>
    </xf>
    <xf numFmtId="0" fontId="4" fillId="4" borderId="3" applyProtection="0">
      <alignment vertical="center"/>
    </xf>
    <xf numFmtId="0" fontId="5" fillId="3" borderId="0" applyNumberFormat="0" applyBorder="0" applyProtection="0">
      <alignment vertical="center" wrapText="1"/>
    </xf>
    <xf numFmtId="0" fontId="13" fillId="0" borderId="1" applyFill="0" applyProtection="0">
      <alignment horizontal="right" vertical="center" indent="1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6" fillId="0" borderId="1" applyNumberFormat="0" applyAlignment="0" applyProtection="0"/>
    <xf numFmtId="0" fontId="5" fillId="6" borderId="0" applyBorder="0" applyProtection="0">
      <alignment horizontal="left" indent="1"/>
    </xf>
    <xf numFmtId="44" fontId="11" fillId="0" borderId="0" applyFont="0" applyFill="0" applyBorder="0" applyProtection="0">
      <alignment horizontal="right" vertical="center"/>
    </xf>
    <xf numFmtId="164" fontId="12" fillId="0" borderId="0" applyFill="0" applyBorder="0" applyProtection="0">
      <alignment horizontal="right" vertical="center"/>
    </xf>
    <xf numFmtId="0" fontId="14" fillId="5" borderId="0" applyNumberFormat="0" applyBorder="0" applyProtection="0">
      <alignment horizontal="left" vertical="top" wrapText="1" indent="1"/>
    </xf>
    <xf numFmtId="167" fontId="5" fillId="0" borderId="0" applyFont="0" applyFill="0" applyBorder="0" applyAlignment="0">
      <alignment vertical="center"/>
    </xf>
    <xf numFmtId="166" fontId="11" fillId="0" borderId="0" applyFont="0" applyFill="0" applyBorder="0">
      <alignment horizontal="right" vertical="center"/>
    </xf>
    <xf numFmtId="14" fontId="9" fillId="0" borderId="0" applyFont="0" applyFill="0" applyBorder="0" applyAlignment="0" applyProtection="0">
      <alignment horizontal="left" wrapText="1"/>
    </xf>
  </cellStyleXfs>
  <cellXfs count="42">
    <xf numFmtId="0" fontId="0" fillId="0" borderId="0" xfId="0">
      <alignment horizontal="left" vertical="center" wrapText="1" indent="1"/>
    </xf>
    <xf numFmtId="0" fontId="2" fillId="0" borderId="0" xfId="0" applyFont="1" applyAlignment="1">
      <alignment wrapText="1"/>
    </xf>
    <xf numFmtId="0" fontId="4" fillId="4" borderId="3" xfId="6" applyProtection="1">
      <alignment vertical="center"/>
    </xf>
    <xf numFmtId="0" fontId="4" fillId="4" borderId="3" xfId="6" applyAlignment="1" applyProtection="1">
      <alignment vertical="top" wrapText="1"/>
    </xf>
    <xf numFmtId="0" fontId="4" fillId="4" borderId="3" xfId="6" applyAlignment="1" applyProtection="1">
      <alignment horizontal="left" vertical="center" indent="2"/>
    </xf>
    <xf numFmtId="0" fontId="9" fillId="0" borderId="0" xfId="0" applyFont="1" applyAlignment="1">
      <alignment wrapText="1"/>
    </xf>
    <xf numFmtId="0" fontId="0" fillId="7" borderId="0" xfId="0" applyFill="1">
      <alignment horizontal="left" vertical="center" wrapText="1" indent="1"/>
    </xf>
    <xf numFmtId="0" fontId="0" fillId="0" borderId="2" xfId="0" applyBorder="1">
      <alignment horizontal="left" vertical="center" wrapText="1" indent="1"/>
    </xf>
    <xf numFmtId="167" fontId="10" fillId="0" borderId="0" xfId="2" applyAlignment="1" applyProtection="1">
      <alignment vertical="top"/>
    </xf>
    <xf numFmtId="0" fontId="15" fillId="0" borderId="0" xfId="0" applyFont="1">
      <alignment horizontal="left" vertical="center" wrapText="1" indent="1"/>
    </xf>
    <xf numFmtId="44" fontId="16" fillId="0" borderId="0" xfId="13" applyFont="1" applyFill="1" applyBorder="1" applyAlignment="1" applyProtection="1">
      <alignment horizontal="center" vertical="center"/>
    </xf>
    <xf numFmtId="44" fontId="17" fillId="2" borderId="1" xfId="13" applyFont="1" applyFill="1" applyBorder="1" applyProtection="1">
      <alignment horizontal="right" vertical="center"/>
    </xf>
    <xf numFmtId="0" fontId="3" fillId="0" borderId="0" xfId="3" applyFill="1" applyBorder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165" fontId="6" fillId="2" borderId="4" xfId="11" applyNumberFormat="1" applyFill="1" applyBorder="1" applyAlignment="1" applyProtection="1">
      <alignment horizontal="right" vertical="center"/>
    </xf>
    <xf numFmtId="0" fontId="18" fillId="0" borderId="1" xfId="0" applyFont="1" applyBorder="1" applyAlignment="1">
      <alignment horizontal="center" vertical="center" wrapText="1"/>
    </xf>
    <xf numFmtId="0" fontId="18" fillId="0" borderId="0" xfId="0" applyFont="1" applyFill="1" applyBorder="1">
      <alignment horizontal="left" vertical="center" wrapText="1" indent="1"/>
    </xf>
    <xf numFmtId="0" fontId="20" fillId="0" borderId="5" xfId="2" applyNumberFormat="1" applyFont="1" applyBorder="1" applyAlignment="1">
      <alignment horizontal="right" vertical="center"/>
    </xf>
    <xf numFmtId="0" fontId="20" fillId="0" borderId="0" xfId="0" applyFont="1" applyAlignment="1">
      <alignment horizontal="right" vertical="center"/>
    </xf>
    <xf numFmtId="0" fontId="20" fillId="0" borderId="0" xfId="0" applyFont="1" applyAlignment="1">
      <alignment horizontal="center" vertical="center"/>
    </xf>
    <xf numFmtId="167" fontId="20" fillId="0" borderId="0" xfId="2" applyFont="1" applyProtection="1">
      <alignment vertical="center"/>
    </xf>
    <xf numFmtId="44" fontId="19" fillId="0" borderId="0" xfId="13" applyFont="1" applyFill="1" applyBorder="1" applyAlignment="1" applyProtection="1">
      <alignment horizontal="center" vertical="center"/>
    </xf>
    <xf numFmtId="44" fontId="18" fillId="0" borderId="0" xfId="13" applyFont="1" applyFill="1" applyBorder="1" applyAlignment="1" applyProtection="1">
      <alignment horizontal="center" vertical="center"/>
    </xf>
    <xf numFmtId="167" fontId="21" fillId="0" borderId="0" xfId="2" applyFont="1" applyAlignment="1" applyProtection="1">
      <alignment horizontal="center" vertical="center"/>
    </xf>
    <xf numFmtId="1" fontId="22" fillId="0" borderId="0" xfId="0" applyNumberFormat="1" applyFont="1">
      <alignment horizontal="left" vertical="center" wrapText="1" indent="1"/>
    </xf>
    <xf numFmtId="14" fontId="22" fillId="0" borderId="0" xfId="18" applyFont="1" applyAlignment="1">
      <alignment horizontal="left" vertical="center" wrapText="1" indent="1"/>
    </xf>
    <xf numFmtId="0" fontId="22" fillId="0" borderId="5" xfId="2" applyNumberFormat="1" applyFont="1" applyBorder="1" applyAlignment="1">
      <alignment horizontal="left" vertical="center"/>
    </xf>
    <xf numFmtId="167" fontId="22" fillId="0" borderId="0" xfId="2" applyFont="1" applyAlignment="1" applyProtection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44" fontId="18" fillId="0" borderId="1" xfId="13" applyFont="1" applyFill="1" applyBorder="1" applyAlignment="1" applyProtection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pivotButton="1" applyAlignment="1">
      <alignment horizontal="center" vertical="center" wrapText="1"/>
    </xf>
    <xf numFmtId="0" fontId="4" fillId="4" borderId="3" xfId="6" applyAlignment="1" applyProtection="1">
      <alignment horizontal="left" vertical="center" indent="2"/>
    </xf>
    <xf numFmtId="0" fontId="14" fillId="5" borderId="1" xfId="15" applyBorder="1">
      <alignment horizontal="left" vertical="top" wrapText="1" indent="1"/>
    </xf>
    <xf numFmtId="0" fontId="0" fillId="0" borderId="0" xfId="0" pivotButton="1">
      <alignment horizontal="left" vertical="center" wrapText="1" inden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 indent="1"/>
    </xf>
    <xf numFmtId="0" fontId="0" fillId="0" borderId="0" xfId="0" applyAlignment="1">
      <alignment horizontal="left" vertical="center" wrapText="1" indent="2"/>
    </xf>
  </cellXfs>
  <cellStyles count="19">
    <cellStyle name="20% - Énfasis1" xfId="15" builtinId="30" customBuiltin="1"/>
    <cellStyle name="60% - Énfasis1" xfId="7" builtinId="32" customBuiltin="1"/>
    <cellStyle name="Cantidad" xfId="17" xr:uid="{00000000-0005-0000-0000-00000F000000}"/>
    <cellStyle name="Encabezado 1" xfId="2" builtinId="16" customBuiltin="1"/>
    <cellStyle name="Encabezado 4" xfId="12" builtinId="19" customBuiltin="1"/>
    <cellStyle name="Fecha" xfId="18" xr:uid="{00000000-0005-0000-0000-000004000000}"/>
    <cellStyle name="Hipervínculo" xfId="1" builtinId="8" customBuiltin="1"/>
    <cellStyle name="Hipervínculo visitado" xfId="5" builtinId="9" customBuiltin="1"/>
    <cellStyle name="Moneda" xfId="13" builtinId="4" customBuiltin="1"/>
    <cellStyle name="Moneda [0]" xfId="14" builtinId="7" customBuiltin="1"/>
    <cellStyle name="Normal" xfId="0" builtinId="0" customBuiltin="1"/>
    <cellStyle name="Porcentaje" xfId="4" builtinId="5" customBuiltin="1"/>
    <cellStyle name="Teléfono" xfId="16" xr:uid="{00000000-0005-0000-0000-00000E000000}"/>
    <cellStyle name="Texto de advertencia" xfId="9" builtinId="11" customBuiltin="1"/>
    <cellStyle name="Texto explicativo" xfId="10" builtinId="53" customBuiltin="1"/>
    <cellStyle name="Título" xfId="6" builtinId="15" customBuiltin="1"/>
    <cellStyle name="Título 2" xfId="3" builtinId="17" customBuiltin="1"/>
    <cellStyle name="Título 3" xfId="8" builtinId="18" customBuiltin="1"/>
    <cellStyle name="Total" xfId="11" builtinId="25" customBuiltin="1"/>
  </cellStyles>
  <dxfs count="105"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font>
        <b/>
        <strike val="0"/>
        <outline val="0"/>
        <shadow val="0"/>
        <u val="none"/>
        <vertAlign val="baseline"/>
        <sz val="16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  <protection locked="1" hidden="0"/>
    </dxf>
    <dxf>
      <font>
        <b val="0"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4"/>
        <color theme="2" tint="-0.749961851863155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>
          <bgColor theme="4" tint="0.39994506668294322"/>
        </patternFill>
      </fill>
    </dxf>
    <dxf>
      <fill>
        <patternFill>
          <bgColor theme="4" tint="0.59996337778862885"/>
        </patternFill>
      </fill>
    </dxf>
    <dxf>
      <fill>
        <patternFill patternType="none">
          <bgColor auto="1"/>
        </patternFill>
      </fill>
    </dxf>
    <dxf>
      <fill>
        <patternFill patternType="solid">
          <fgColor theme="4" tint="0.79995117038483843"/>
          <bgColor theme="4" tint="0.79998168889431442"/>
        </patternFill>
      </fill>
    </dxf>
    <dxf>
      <font>
        <b val="0"/>
        <i val="0"/>
        <color theme="1" tint="4.9989318521683403E-2"/>
      </font>
    </dxf>
    <dxf>
      <font>
        <b/>
        <i val="0"/>
        <color theme="4" tint="-0.499984740745262"/>
      </font>
      <border>
        <left style="thin">
          <color theme="4"/>
        </left>
        <right style="thin">
          <color theme="4"/>
        </right>
        <top style="double">
          <color theme="4"/>
        </top>
        <bottom style="thin">
          <color theme="4"/>
        </bottom>
      </border>
    </dxf>
    <dxf>
      <font>
        <b val="0"/>
        <i val="0"/>
        <color theme="4" tint="-0.24994659260841701"/>
      </font>
      <border>
        <left style="thin">
          <color theme="4"/>
        </left>
        <right style="thin">
          <color theme="4"/>
        </right>
        <top style="thin">
          <color theme="4"/>
        </top>
        <vertical/>
        <horizontal/>
      </border>
    </dxf>
    <dxf>
      <font>
        <b val="0"/>
        <i val="0"/>
        <color theme="3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</dxfs>
  <tableStyles count="1" defaultPivotStyle="PivotStyleLight16">
    <tableStyle name="Factura" pivot="0" count="6" xr9:uid="{00000000-0011-0000-FFFF-FFFF00000000}">
      <tableStyleElement type="wholeTable" dxfId="104"/>
      <tableStyleElement type="headerRow" dxfId="103"/>
      <tableStyleElement type="totalRow" dxfId="102"/>
      <tableStyleElement type="lastColumn" dxfId="101"/>
      <tableStyleElement type="firstRowStripe" dxfId="100"/>
      <tableStyleElement type="secondRowStripe" dxfId="9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57150</xdr:rowOff>
        </xdr:from>
        <xdr:to>
          <xdr:col>9</xdr:col>
          <xdr:colOff>428625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523875</xdr:rowOff>
        </xdr:from>
        <xdr:to>
          <xdr:col>9</xdr:col>
          <xdr:colOff>447675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400050</xdr:colOff>
          <xdr:row>4</xdr:row>
          <xdr:rowOff>542925</xdr:rowOff>
        </xdr:from>
        <xdr:to>
          <xdr:col>12</xdr:col>
          <xdr:colOff>257175</xdr:colOff>
          <xdr:row>6</xdr:row>
          <xdr:rowOff>28575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F5766"/>
                  </a:solidFill>
                  <a:latin typeface="Calibri"/>
                  <a:cs typeface="Calibri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or" refreshedDate="45208.562323611113" createdVersion="8" refreshedVersion="8" minRefreshableVersion="3" recordCount="51" xr:uid="{0DFA35F3-1850-4B26-8B31-20662DE149AC}">
  <cacheSource type="worksheet">
    <worksheetSource ref="A1:I52" sheet="Trabajos"/>
  </cacheSource>
  <cacheFields count="11">
    <cacheField name="CodFactura" numFmtId="0">
      <sharedItems containsSemiMixedTypes="0" containsString="0" containsNumber="1" containsInteger="1" minValue="1" maxValue="19"/>
    </cacheField>
    <cacheField name="Fecha" numFmtId="14">
      <sharedItems containsSemiMixedTypes="0" containsNonDate="0" containsDate="1" containsString="0" minDate="2022-01-16T00:00:00" maxDate="2022-12-22T00:00:00" count="17">
        <d v="2022-01-16T00:00:00"/>
        <d v="2022-02-24T00:00:00"/>
        <d v="2022-03-14T00:00:00"/>
        <d v="2022-04-11T00:00:00"/>
        <d v="2022-05-05T00:00:00"/>
        <d v="2022-05-16T00:00:00"/>
        <d v="2022-05-29T00:00:00"/>
        <d v="2022-05-26T00:00:00"/>
        <d v="2022-06-26T00:00:00"/>
        <d v="2022-07-11T00:00:00"/>
        <d v="2022-07-27T00:00:00"/>
        <d v="2022-08-16T00:00:00"/>
        <d v="2022-09-12T00:00:00"/>
        <d v="2022-09-26T00:00:00"/>
        <d v="2022-11-04T00:00:00"/>
        <d v="2022-11-28T00:00:00"/>
        <d v="2022-12-21T00:00:00"/>
      </sharedItems>
      <fieldGroup par="10"/>
    </cacheField>
    <cacheField name="Nombre" numFmtId="0">
      <sharedItems count="1">
        <s v="Teresa Miguel Serisuelo"/>
      </sharedItems>
    </cacheField>
    <cacheField name="Horas" numFmtId="0">
      <sharedItems containsSemiMixedTypes="0" containsString="0" containsNumber="1" containsInteger="1" minValue="1" maxValue="26"/>
    </cacheField>
    <cacheField name="TrabajoRealizado" numFmtId="0">
      <sharedItems count="21">
        <s v="Podar"/>
        <s v="Pintar cortes"/>
        <s v="Atar injertos"/>
        <s v="Pasar herbicida"/>
        <s v="Triturar"/>
        <s v="Poner piquetas"/>
        <s v="Matear plantones"/>
        <s v="Pulverizar Zocas"/>
        <s v="Inyectar Hierro"/>
        <s v="Quemar leña"/>
        <s v="Limpiar goteros"/>
        <s v="Pulverizar"/>
        <s v="Motor de pulverizar"/>
        <s v="Tirar veneno caracoles"/>
        <s v="Inyectar abono"/>
        <s v="Desbordegar"/>
        <s v="Podar plantones"/>
        <s v="Poner mosqueros"/>
        <s v="Tirar naranjas"/>
        <s v="Pulverizar mosca"/>
        <s v="Presenciar recolección"/>
      </sharedItems>
    </cacheField>
    <cacheField name="Variedad" numFmtId="0">
      <sharedItems count="2">
        <s v="Oronul"/>
        <s v="Ortanique"/>
      </sharedItems>
    </cacheField>
    <cacheField name="Partida" numFmtId="0">
      <sharedItems count="3">
        <s v="Salt"/>
        <s v="La Foia"/>
        <s v="Camí Artanencs"/>
      </sharedItems>
    </cacheField>
    <cacheField name="Parcela" numFmtId="0">
      <sharedItems containsNonDate="0" containsString="0" containsBlank="1"/>
    </cacheField>
    <cacheField name="Precio" numFmtId="0">
      <sharedItems containsSemiMixedTypes="0" containsString="0" containsNumber="1" containsInteger="1" minValue="9" maxValue="234"/>
    </cacheField>
    <cacheField name="Días (Fecha)" numFmtId="0" databaseField="0">
      <fieldGroup base="1">
        <rangePr groupBy="days" startDate="2022-01-16T00:00:00" endDate="2022-12-22T00:00:00"/>
        <groupItems count="368">
          <s v="&lt;16/01/2022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22/12/2022"/>
        </groupItems>
      </fieldGroup>
    </cacheField>
    <cacheField name="Meses (Fecha)" numFmtId="0" databaseField="0">
      <fieldGroup base="1">
        <rangePr groupBy="months" startDate="2022-01-16T00:00:00" endDate="2022-12-22T00:00:00"/>
        <groupItems count="14">
          <s v="&lt;16/01/2022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2/12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n v="1"/>
    <x v="0"/>
    <x v="0"/>
    <n v="18"/>
    <x v="0"/>
    <x v="0"/>
    <x v="0"/>
    <m/>
    <n v="162"/>
  </r>
  <r>
    <n v="1"/>
    <x v="0"/>
    <x v="0"/>
    <n v="3"/>
    <x v="1"/>
    <x v="0"/>
    <x v="0"/>
    <m/>
    <n v="27"/>
  </r>
  <r>
    <n v="1"/>
    <x v="0"/>
    <x v="0"/>
    <n v="1"/>
    <x v="2"/>
    <x v="0"/>
    <x v="0"/>
    <m/>
    <n v="9"/>
  </r>
  <r>
    <n v="2"/>
    <x v="1"/>
    <x v="0"/>
    <n v="26"/>
    <x v="0"/>
    <x v="0"/>
    <x v="1"/>
    <m/>
    <n v="234"/>
  </r>
  <r>
    <n v="3"/>
    <x v="2"/>
    <x v="0"/>
    <n v="5"/>
    <x v="3"/>
    <x v="0"/>
    <x v="1"/>
    <m/>
    <n v="45"/>
  </r>
  <r>
    <n v="3"/>
    <x v="2"/>
    <x v="0"/>
    <n v="2"/>
    <x v="4"/>
    <x v="0"/>
    <x v="1"/>
    <m/>
    <n v="18"/>
  </r>
  <r>
    <n v="3"/>
    <x v="2"/>
    <x v="0"/>
    <n v="2"/>
    <x v="4"/>
    <x v="0"/>
    <x v="0"/>
    <m/>
    <n v="18"/>
  </r>
  <r>
    <n v="3"/>
    <x v="2"/>
    <x v="0"/>
    <n v="2"/>
    <x v="5"/>
    <x v="0"/>
    <x v="1"/>
    <m/>
    <n v="18"/>
  </r>
  <r>
    <n v="4"/>
    <x v="3"/>
    <x v="0"/>
    <n v="4"/>
    <x v="6"/>
    <x v="0"/>
    <x v="1"/>
    <m/>
    <n v="36"/>
  </r>
  <r>
    <n v="4"/>
    <x v="3"/>
    <x v="0"/>
    <n v="5"/>
    <x v="7"/>
    <x v="0"/>
    <x v="1"/>
    <m/>
    <n v="45"/>
  </r>
  <r>
    <n v="4"/>
    <x v="3"/>
    <x v="0"/>
    <n v="2"/>
    <x v="8"/>
    <x v="0"/>
    <x v="1"/>
    <m/>
    <n v="18"/>
  </r>
  <r>
    <n v="4"/>
    <x v="3"/>
    <x v="0"/>
    <n v="2"/>
    <x v="9"/>
    <x v="0"/>
    <x v="1"/>
    <m/>
    <n v="18"/>
  </r>
  <r>
    <n v="4"/>
    <x v="3"/>
    <x v="0"/>
    <n v="1"/>
    <x v="10"/>
    <x v="0"/>
    <x v="1"/>
    <m/>
    <n v="9"/>
  </r>
  <r>
    <n v="5"/>
    <x v="4"/>
    <x v="0"/>
    <n v="10"/>
    <x v="11"/>
    <x v="0"/>
    <x v="1"/>
    <m/>
    <n v="100"/>
  </r>
  <r>
    <n v="5"/>
    <x v="4"/>
    <x v="0"/>
    <n v="5"/>
    <x v="12"/>
    <x v="0"/>
    <x v="1"/>
    <m/>
    <n v="50"/>
  </r>
  <r>
    <n v="6"/>
    <x v="5"/>
    <x v="0"/>
    <n v="6"/>
    <x v="0"/>
    <x v="0"/>
    <x v="1"/>
    <m/>
    <n v="54"/>
  </r>
  <r>
    <n v="6"/>
    <x v="5"/>
    <x v="0"/>
    <n v="4"/>
    <x v="7"/>
    <x v="0"/>
    <x v="1"/>
    <m/>
    <n v="36"/>
  </r>
  <r>
    <n v="6"/>
    <x v="5"/>
    <x v="0"/>
    <n v="2"/>
    <x v="9"/>
    <x v="0"/>
    <x v="1"/>
    <m/>
    <n v="18"/>
  </r>
  <r>
    <n v="7"/>
    <x v="6"/>
    <x v="0"/>
    <n v="8"/>
    <x v="11"/>
    <x v="1"/>
    <x v="2"/>
    <m/>
    <n v="80"/>
  </r>
  <r>
    <n v="7"/>
    <x v="6"/>
    <x v="0"/>
    <n v="4"/>
    <x v="12"/>
    <x v="1"/>
    <x v="2"/>
    <m/>
    <n v="40"/>
  </r>
  <r>
    <n v="8"/>
    <x v="7"/>
    <x v="0"/>
    <n v="5"/>
    <x v="3"/>
    <x v="0"/>
    <x v="1"/>
    <m/>
    <n v="45"/>
  </r>
  <r>
    <n v="8"/>
    <x v="7"/>
    <x v="0"/>
    <n v="3"/>
    <x v="3"/>
    <x v="1"/>
    <x v="2"/>
    <m/>
    <n v="27"/>
  </r>
  <r>
    <n v="8"/>
    <x v="7"/>
    <x v="0"/>
    <n v="2"/>
    <x v="3"/>
    <x v="0"/>
    <x v="0"/>
    <m/>
    <n v="18"/>
  </r>
  <r>
    <n v="9"/>
    <x v="8"/>
    <x v="0"/>
    <n v="6"/>
    <x v="11"/>
    <x v="0"/>
    <x v="0"/>
    <m/>
    <n v="54"/>
  </r>
  <r>
    <n v="9"/>
    <x v="8"/>
    <x v="0"/>
    <n v="5"/>
    <x v="3"/>
    <x v="0"/>
    <x v="1"/>
    <m/>
    <n v="45"/>
  </r>
  <r>
    <n v="10"/>
    <x v="9"/>
    <x v="0"/>
    <n v="1"/>
    <x v="13"/>
    <x v="0"/>
    <x v="1"/>
    <m/>
    <n v="9"/>
  </r>
  <r>
    <n v="10"/>
    <x v="9"/>
    <x v="0"/>
    <n v="1"/>
    <x v="13"/>
    <x v="1"/>
    <x v="2"/>
    <m/>
    <n v="9"/>
  </r>
  <r>
    <n v="10"/>
    <x v="9"/>
    <x v="0"/>
    <n v="1"/>
    <x v="14"/>
    <x v="0"/>
    <x v="1"/>
    <m/>
    <n v="9"/>
  </r>
  <r>
    <n v="10"/>
    <x v="9"/>
    <x v="0"/>
    <n v="3"/>
    <x v="3"/>
    <x v="1"/>
    <x v="2"/>
    <m/>
    <n v="27"/>
  </r>
  <r>
    <n v="10"/>
    <x v="9"/>
    <x v="0"/>
    <n v="6"/>
    <x v="15"/>
    <x v="0"/>
    <x v="1"/>
    <m/>
    <n v="54"/>
  </r>
  <r>
    <n v="10"/>
    <x v="9"/>
    <x v="0"/>
    <n v="4"/>
    <x v="16"/>
    <x v="0"/>
    <x v="1"/>
    <m/>
    <n v="36"/>
  </r>
  <r>
    <n v="11"/>
    <x v="9"/>
    <x v="0"/>
    <n v="14"/>
    <x v="11"/>
    <x v="0"/>
    <x v="1"/>
    <m/>
    <n v="126"/>
  </r>
  <r>
    <n v="12"/>
    <x v="10"/>
    <x v="0"/>
    <n v="12"/>
    <x v="0"/>
    <x v="0"/>
    <x v="1"/>
    <m/>
    <n v="108"/>
  </r>
  <r>
    <n v="13"/>
    <x v="11"/>
    <x v="0"/>
    <n v="8"/>
    <x v="0"/>
    <x v="0"/>
    <x v="1"/>
    <m/>
    <n v="72"/>
  </r>
  <r>
    <n v="13"/>
    <x v="11"/>
    <x v="0"/>
    <n v="2"/>
    <x v="9"/>
    <x v="0"/>
    <x v="1"/>
    <m/>
    <n v="18"/>
  </r>
  <r>
    <n v="14"/>
    <x v="12"/>
    <x v="0"/>
    <n v="4"/>
    <x v="15"/>
    <x v="0"/>
    <x v="0"/>
    <m/>
    <n v="36"/>
  </r>
  <r>
    <n v="14"/>
    <x v="12"/>
    <x v="0"/>
    <n v="2"/>
    <x v="3"/>
    <x v="0"/>
    <x v="0"/>
    <m/>
    <n v="18"/>
  </r>
  <r>
    <n v="14"/>
    <x v="12"/>
    <x v="0"/>
    <n v="2"/>
    <x v="4"/>
    <x v="0"/>
    <x v="1"/>
    <m/>
    <n v="18"/>
  </r>
  <r>
    <n v="14"/>
    <x v="12"/>
    <x v="0"/>
    <n v="2"/>
    <x v="17"/>
    <x v="0"/>
    <x v="1"/>
    <m/>
    <n v="18"/>
  </r>
  <r>
    <n v="14"/>
    <x v="12"/>
    <x v="0"/>
    <n v="2"/>
    <x v="18"/>
    <x v="0"/>
    <x v="1"/>
    <m/>
    <n v="18"/>
  </r>
  <r>
    <n v="15"/>
    <x v="13"/>
    <x v="0"/>
    <n v="4"/>
    <x v="3"/>
    <x v="0"/>
    <x v="1"/>
    <m/>
    <n v="36"/>
  </r>
  <r>
    <n v="15"/>
    <x v="13"/>
    <x v="0"/>
    <n v="2"/>
    <x v="19"/>
    <x v="0"/>
    <x v="1"/>
    <m/>
    <n v="18"/>
  </r>
  <r>
    <n v="16"/>
    <x v="13"/>
    <x v="0"/>
    <n v="18"/>
    <x v="18"/>
    <x v="0"/>
    <x v="1"/>
    <m/>
    <n v="162"/>
  </r>
  <r>
    <n v="17"/>
    <x v="14"/>
    <x v="0"/>
    <n v="4"/>
    <x v="19"/>
    <x v="0"/>
    <x v="1"/>
    <m/>
    <n v="36"/>
  </r>
  <r>
    <n v="17"/>
    <x v="14"/>
    <x v="0"/>
    <n v="2"/>
    <x v="19"/>
    <x v="0"/>
    <x v="0"/>
    <m/>
    <n v="18"/>
  </r>
  <r>
    <n v="17"/>
    <x v="14"/>
    <x v="0"/>
    <n v="4"/>
    <x v="20"/>
    <x v="0"/>
    <x v="1"/>
    <m/>
    <n v="36"/>
  </r>
  <r>
    <n v="17"/>
    <x v="14"/>
    <x v="0"/>
    <n v="2"/>
    <x v="20"/>
    <x v="0"/>
    <x v="0"/>
    <m/>
    <n v="18"/>
  </r>
  <r>
    <n v="18"/>
    <x v="15"/>
    <x v="0"/>
    <n v="4"/>
    <x v="11"/>
    <x v="0"/>
    <x v="0"/>
    <m/>
    <n v="40"/>
  </r>
  <r>
    <n v="18"/>
    <x v="15"/>
    <x v="0"/>
    <n v="7"/>
    <x v="11"/>
    <x v="1"/>
    <x v="2"/>
    <m/>
    <n v="70"/>
  </r>
  <r>
    <n v="19"/>
    <x v="16"/>
    <x v="0"/>
    <n v="5"/>
    <x v="3"/>
    <x v="0"/>
    <x v="1"/>
    <m/>
    <n v="45"/>
  </r>
  <r>
    <n v="19"/>
    <x v="16"/>
    <x v="0"/>
    <n v="2"/>
    <x v="3"/>
    <x v="0"/>
    <x v="0"/>
    <m/>
    <n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046FB8-CECF-4A01-8359-C7676ED1CDF0}" name="TablaDinámica2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C17" firstHeaderRow="0" firstDataRow="1" firstDataCol="1" rowPageCount="2" colPageCount="1"/>
  <pivotFields count="11">
    <pivotField showAll="0"/>
    <pivotField axis="axisRow" numFmtId="14" showAll="0">
      <items count="18">
        <item x="0"/>
        <item x="1"/>
        <item x="2"/>
        <item x="3"/>
        <item x="4"/>
        <item x="5"/>
        <item x="7"/>
        <item x="6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Row" showAll="0">
      <items count="2">
        <item x="0"/>
        <item t="default"/>
      </items>
    </pivotField>
    <pivotField dataField="1" showAll="0"/>
    <pivotField axis="axisPage" multipleItemSelectionAllowed="1" showAll="0">
      <items count="22">
        <item x="2"/>
        <item x="15"/>
        <item x="14"/>
        <item x="8"/>
        <item x="10"/>
        <item x="6"/>
        <item x="12"/>
        <item x="3"/>
        <item x="1"/>
        <item x="0"/>
        <item x="16"/>
        <item x="17"/>
        <item x="5"/>
        <item x="20"/>
        <item x="11"/>
        <item x="19"/>
        <item x="7"/>
        <item x="9"/>
        <item x="18"/>
        <item x="13"/>
        <item x="4"/>
        <item t="default"/>
      </items>
    </pivotField>
    <pivotField axis="axisRow" showAll="0">
      <items count="3">
        <item x="0"/>
        <item x="1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  <pivotField dataField="1"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5">
    <field x="2"/>
    <field x="5"/>
    <field x="10"/>
    <field x="9"/>
    <field x="1"/>
  </rowFields>
  <rowItems count="13">
    <i>
      <x/>
    </i>
    <i r="1">
      <x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1"/>
    </i>
    <i r="2">
      <x v="12"/>
    </i>
    <i t="grand">
      <x/>
    </i>
  </rowItems>
  <colFields count="1">
    <field x="-2"/>
  </colFields>
  <colItems count="2">
    <i>
      <x/>
    </i>
    <i i="1">
      <x v="1"/>
    </i>
  </colItems>
  <pageFields count="2">
    <pageField fld="6" item="1" hier="-1"/>
    <pageField fld="4" hier="-1"/>
  </pageFields>
  <dataFields count="2">
    <dataField name="Suma de Precio" fld="8" baseField="0" baseItem="0"/>
    <dataField name="Suma de Horas" fld="3" baseField="0" baseItem="0"/>
  </dataFields>
  <formats count="7">
    <format dxfId="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8">
      <pivotArea field="2" type="button" dataOnly="0" labelOnly="1" outline="0" axis="axisRow" fieldPosition="0"/>
    </format>
    <format dxfId="87">
      <pivotArea dataOnly="0" labelOnly="1" fieldPosition="0">
        <references count="1">
          <reference field="2" count="0"/>
        </references>
      </pivotArea>
    </format>
    <format dxfId="86">
      <pivotArea dataOnly="0" labelOnly="1" grandRow="1" outline="0" fieldPosition="0"/>
    </format>
    <format dxfId="8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4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Factura" displayName="Factura" ref="B6:G18" totalsRowShown="0">
  <autoFilter ref="B6:G18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000-000001000000}" name="Horas" dataDxfId="96"/>
    <tableColumn id="2" xr3:uid="{00000000-0010-0000-0000-000002000000}" name="Trabajos" dataDxfId="95"/>
    <tableColumn id="7" xr3:uid="{00000000-0010-0000-0000-000007000000}" name="Variedad" dataDxfId="94"/>
    <tableColumn id="8" xr3:uid="{00000000-0010-0000-0000-000008000000}" name="Partida" dataDxfId="93"/>
    <tableColumn id="10" xr3:uid="{00000000-0010-0000-0000-00000A000000}" name="Parcela" dataDxfId="92"/>
    <tableColumn id="11" xr3:uid="{00000000-0010-0000-0000-00000B000000}" name="Precio" dataDxfId="91">
      <calculatedColumnFormula>B7*9</calculatedColumnFormula>
    </tableColumn>
  </tableColumns>
  <tableStyleInfo name="Factura" showFirstColumn="0" showLastColumn="0" showRowStripes="1" showColumnStripes="0"/>
  <extLst>
    <ext xmlns:x14="http://schemas.microsoft.com/office/spreadsheetml/2009/9/main" uri="{504A1905-F514-4f6f-8877-14C23A59335A}">
      <x14:table altTextSummary="Lista de facturas con n.º de elemento, descripción, cantidad, precio unitario, descuento y precio"/>
    </ext>
  </extLst>
</table>
</file>

<file path=xl/theme/theme1.xml><?xml version="1.0" encoding="utf-8"?>
<a:theme xmlns:a="http://schemas.openxmlformats.org/drawingml/2006/main" name="Office Theme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Sales Invoice">
      <a:majorFont>
        <a:latin typeface="Aria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4" tint="-0.499984740745262"/>
    <pageSetUpPr autoPageBreaks="0" fitToPage="1"/>
  </sheetPr>
  <dimension ref="A1:I19"/>
  <sheetViews>
    <sheetView showGridLines="0" zoomScaleNormal="100" workbookViewId="0">
      <pane ySplit="1" topLeftCell="A14" activePane="bottomLeft" state="frozen"/>
      <selection pane="bottomLeft" activeCell="B7" sqref="B7"/>
    </sheetView>
  </sheetViews>
  <sheetFormatPr baseColWidth="10" defaultColWidth="9" defaultRowHeight="33.950000000000003" customHeight="1" x14ac:dyDescent="0.25"/>
  <cols>
    <col min="1" max="1" width="2.7109375" customWidth="1"/>
    <col min="2" max="2" width="11.28515625" customWidth="1"/>
    <col min="3" max="3" width="58.7109375" customWidth="1"/>
    <col min="4" max="4" width="22.140625" customWidth="1"/>
    <col min="5" max="5" width="22" customWidth="1"/>
    <col min="6" max="6" width="16.5703125" customWidth="1"/>
    <col min="7" max="7" width="19.7109375" customWidth="1"/>
    <col min="8" max="8" width="11.28515625" customWidth="1"/>
  </cols>
  <sheetData>
    <row r="1" spans="1:7" ht="57.95" customHeight="1" thickBot="1" x14ac:dyDescent="0.3">
      <c r="A1" s="6"/>
      <c r="B1" s="36"/>
      <c r="C1" s="36"/>
      <c r="D1" s="4"/>
      <c r="E1" s="4"/>
      <c r="F1" s="2"/>
      <c r="G1" s="3"/>
    </row>
    <row r="2" spans="1:7" ht="24" customHeight="1" thickTop="1" x14ac:dyDescent="0.25">
      <c r="B2" s="20" t="s">
        <v>12</v>
      </c>
      <c r="C2" s="23"/>
      <c r="D2" s="17" t="s">
        <v>25</v>
      </c>
      <c r="E2" s="26"/>
      <c r="F2" s="19" t="s">
        <v>1</v>
      </c>
      <c r="G2" s="24">
        <f ca="1">IF(Trabajos!L1="CodFactura",1,Trabajos!L1+1)</f>
        <v>20</v>
      </c>
    </row>
    <row r="3" spans="1:7" ht="20.100000000000001" customHeight="1" x14ac:dyDescent="0.25">
      <c r="B3" s="20" t="s">
        <v>0</v>
      </c>
      <c r="C3" s="27"/>
      <c r="F3" s="18" t="s">
        <v>2</v>
      </c>
      <c r="G3" s="25"/>
    </row>
    <row r="4" spans="1:7" ht="20.100000000000001" customHeight="1" x14ac:dyDescent="0.25">
      <c r="B4" s="8"/>
      <c r="C4" s="8"/>
      <c r="F4" s="5"/>
      <c r="G4" s="1"/>
    </row>
    <row r="5" spans="1:7" ht="44.1" customHeight="1" x14ac:dyDescent="0.25">
      <c r="D5" s="7"/>
      <c r="E5" s="7"/>
      <c r="F5" s="7"/>
      <c r="G5" s="7"/>
    </row>
    <row r="6" spans="1:7" ht="33.950000000000003" customHeight="1" x14ac:dyDescent="0.25">
      <c r="B6" s="12" t="s">
        <v>5</v>
      </c>
      <c r="C6" s="12" t="s">
        <v>14</v>
      </c>
      <c r="D6" s="12" t="s">
        <v>6</v>
      </c>
      <c r="E6" s="12" t="s">
        <v>28</v>
      </c>
      <c r="F6" s="12" t="s">
        <v>13</v>
      </c>
      <c r="G6" s="12" t="s">
        <v>4</v>
      </c>
    </row>
    <row r="7" spans="1:7" ht="33.950000000000003" customHeight="1" x14ac:dyDescent="0.25">
      <c r="B7" s="28"/>
      <c r="C7" s="16"/>
      <c r="D7" s="13"/>
      <c r="E7" s="22"/>
      <c r="F7" s="21"/>
      <c r="G7" s="10">
        <f t="shared" ref="G7:G18" si="0">B7*9</f>
        <v>0</v>
      </c>
    </row>
    <row r="8" spans="1:7" ht="33.950000000000003" customHeight="1" x14ac:dyDescent="0.25">
      <c r="B8" s="28"/>
      <c r="C8" s="16"/>
      <c r="D8" s="13"/>
      <c r="E8" s="22"/>
      <c r="F8" s="21"/>
      <c r="G8" s="10">
        <f t="shared" si="0"/>
        <v>0</v>
      </c>
    </row>
    <row r="9" spans="1:7" ht="33.950000000000003" customHeight="1" x14ac:dyDescent="0.25">
      <c r="B9" s="28"/>
      <c r="C9" s="16"/>
      <c r="D9" s="13"/>
      <c r="E9" s="22"/>
      <c r="F9" s="21"/>
      <c r="G9" s="10">
        <f t="shared" si="0"/>
        <v>0</v>
      </c>
    </row>
    <row r="10" spans="1:7" ht="33.950000000000003" customHeight="1" x14ac:dyDescent="0.25">
      <c r="B10" s="28"/>
      <c r="C10" s="16"/>
      <c r="D10" s="13"/>
      <c r="E10" s="22"/>
      <c r="F10" s="21"/>
      <c r="G10" s="10">
        <f t="shared" si="0"/>
        <v>0</v>
      </c>
    </row>
    <row r="11" spans="1:7" ht="33.950000000000003" customHeight="1" x14ac:dyDescent="0.25">
      <c r="B11" s="28"/>
      <c r="C11" s="16"/>
      <c r="D11" s="13"/>
      <c r="E11" s="22"/>
      <c r="F11" s="21"/>
      <c r="G11" s="10">
        <f t="shared" si="0"/>
        <v>0</v>
      </c>
    </row>
    <row r="12" spans="1:7" ht="33.950000000000003" customHeight="1" x14ac:dyDescent="0.25">
      <c r="B12" s="28"/>
      <c r="C12" s="16"/>
      <c r="D12" s="13"/>
      <c r="E12" s="22"/>
      <c r="F12" s="21"/>
      <c r="G12" s="10">
        <f t="shared" si="0"/>
        <v>0</v>
      </c>
    </row>
    <row r="13" spans="1:7" ht="33.950000000000003" customHeight="1" x14ac:dyDescent="0.25">
      <c r="B13" s="28"/>
      <c r="C13" s="16"/>
      <c r="D13" s="13"/>
      <c r="E13" s="22"/>
      <c r="F13" s="21"/>
      <c r="G13" s="10">
        <f t="shared" si="0"/>
        <v>0</v>
      </c>
    </row>
    <row r="14" spans="1:7" ht="33.950000000000003" customHeight="1" x14ac:dyDescent="0.25">
      <c r="B14" s="28"/>
      <c r="C14" s="16"/>
      <c r="D14" s="13"/>
      <c r="E14" s="22"/>
      <c r="F14" s="21"/>
      <c r="G14" s="10">
        <f t="shared" si="0"/>
        <v>0</v>
      </c>
    </row>
    <row r="15" spans="1:7" ht="33.950000000000003" customHeight="1" x14ac:dyDescent="0.25">
      <c r="B15" s="28"/>
      <c r="C15" s="16"/>
      <c r="D15" s="13"/>
      <c r="E15" s="22"/>
      <c r="F15" s="21"/>
      <c r="G15" s="10">
        <f t="shared" si="0"/>
        <v>0</v>
      </c>
    </row>
    <row r="16" spans="1:7" ht="33.950000000000003" customHeight="1" x14ac:dyDescent="0.25">
      <c r="B16" s="29"/>
      <c r="C16" s="16"/>
      <c r="D16" s="15"/>
      <c r="E16" s="30"/>
      <c r="F16" s="21"/>
      <c r="G16" s="10">
        <f t="shared" si="0"/>
        <v>0</v>
      </c>
    </row>
    <row r="17" spans="2:9" ht="33.950000000000003" customHeight="1" x14ac:dyDescent="0.25">
      <c r="B17" s="29"/>
      <c r="C17" s="16"/>
      <c r="D17" s="15"/>
      <c r="E17" s="30"/>
      <c r="F17" s="21"/>
      <c r="G17" s="10">
        <f t="shared" si="0"/>
        <v>0</v>
      </c>
      <c r="I17" s="9"/>
    </row>
    <row r="18" spans="2:9" ht="33.950000000000003" customHeight="1" x14ac:dyDescent="0.25">
      <c r="B18" s="29"/>
      <c r="C18" s="16"/>
      <c r="D18" s="15"/>
      <c r="E18" s="30"/>
      <c r="F18" s="21"/>
      <c r="G18" s="10">
        <f t="shared" si="0"/>
        <v>0</v>
      </c>
    </row>
    <row r="19" spans="2:9" ht="33.950000000000003" customHeight="1" x14ac:dyDescent="0.25">
      <c r="B19" s="37"/>
      <c r="C19" s="37"/>
      <c r="D19" s="37"/>
      <c r="E19" s="37"/>
      <c r="F19" s="14" t="s">
        <v>3</v>
      </c>
      <c r="G19" s="11">
        <f>SUM(G7:G18)</f>
        <v>0</v>
      </c>
    </row>
  </sheetData>
  <sheetProtection formatCells="0" formatColumns="0" formatRows="0" sort="0"/>
  <dataConsolidate/>
  <mergeCells count="2">
    <mergeCell ref="B1:C1"/>
    <mergeCell ref="B19:E19"/>
  </mergeCells>
  <phoneticPr fontId="1" type="noConversion"/>
  <conditionalFormatting sqref="G7:G18">
    <cfRule type="expression" dxfId="98" priority="1">
      <formula>MOD(ROW(),2)=1</formula>
    </cfRule>
    <cfRule type="expression" dxfId="97" priority="2">
      <formula>MOD(ROW(),2)=0</formula>
    </cfRule>
  </conditionalFormatting>
  <dataValidations xWindow="760" yWindow="637" count="12">
    <dataValidation allowBlank="1" showInputMessage="1" showErrorMessage="1" prompt="La cantidad total se calcula automáticamente en esta celda" sqref="G19" xr:uid="{00000000-0002-0000-0000-000000000000}"/>
    <dataValidation allowBlank="1" showInputMessage="1" showErrorMessage="1" prompt="Escriba el número de artículo en la columna con este encabezado" sqref="B6:G6" xr:uid="{00000000-0002-0000-0000-00000B000000}"/>
    <dataValidation allowBlank="1" showInputMessage="1" showErrorMessage="1" prompt="Escriba la fecha de la factura en la celda de la derecha" sqref="F3" xr:uid="{00000000-0002-0000-0000-00000C000000}"/>
    <dataValidation allowBlank="1" showInputMessage="1" showErrorMessage="1" prompt="Escriba la fecha de la factura en esta celda" sqref="G3" xr:uid="{00000000-0002-0000-0000-00000D000000}"/>
    <dataValidation allowBlank="1" showInputMessage="1" showErrorMessage="1" prompt="Escriba el número de factura en la celda de la derecha" sqref="F2" xr:uid="{00000000-0002-0000-0000-00000E000000}"/>
    <dataValidation allowBlank="1" showInputMessage="1" showErrorMessage="1" prompt="Escriba el número de factura en esta celda" sqref="G2" xr:uid="{00000000-0002-0000-0000-00000F000000}"/>
    <dataValidation allowBlank="1" showInputMessage="1" showErrorMessage="1" prompt="Escriba la dirección de facturación en la celda de la derecha" sqref="B3" xr:uid="{00000000-0002-0000-0000-000011000000}"/>
    <dataValidation allowBlank="1" showInputMessage="1" showErrorMessage="1" prompt="Escriba el destinatario de la factura en la celda de la derecha" sqref="B2" xr:uid="{00000000-0002-0000-0000-000012000000}"/>
    <dataValidation allowBlank="1" showInputMessage="1" showErrorMessage="1" prompt="Escriba el número de teléfono en esta celda" sqref="D2:E2" xr:uid="{00000000-0002-0000-0000-000015000000}"/>
    <dataValidation allowBlank="1" showInputMessage="1" showErrorMessage="1" prompt="Cree una factura sencilla en esta hoja de cálculo" sqref="A1" xr:uid="{00000000-0002-0000-0000-000018000000}"/>
    <dataValidation allowBlank="1" showInputMessage="1" showErrorMessage="1" prompt="Escriba el número de días del Total a pagar para reemplazar el primer &lt;#&gt; en esta celda y escriba el porcentaje de cargo por servicios vencido en el segundo &lt;#&gt;" sqref="B19:E19" xr:uid="{00000000-0002-0000-0000-000021000000}"/>
    <dataValidation allowBlank="1" showInputMessage="1" showErrorMessage="1" prompt="Modifique el nombre de la empresa en esta celda. Escriba la dirección de la empresa, teléfono, fax, correo electrónico y sitio web en las celdas B2 a G3. Escriba los detalles de facturación en las celdas B4 a G7." sqref="B1:C1" xr:uid="{1F39175D-BE2C-4F39-A69D-20E551E1A35B}"/>
  </dataValidations>
  <printOptions horizontalCentered="1"/>
  <pageMargins left="0.7" right="0.7" top="1" bottom="1" header="0.3" footer="0.3"/>
  <pageSetup paperSize="9" scale="57" fitToHeight="0" orientation="portrait" horizontalDpi="300" verticalDpi="300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ImprimirFactura">
                <anchor moveWithCells="1">
                  <from>
                    <xdr:col>8</xdr:col>
                    <xdr:colOff>38100</xdr:colOff>
                    <xdr:row>7</xdr:row>
                    <xdr:rowOff>57150</xdr:rowOff>
                  </from>
                  <to>
                    <xdr:col>9</xdr:col>
                    <xdr:colOff>428625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ardarFactura">
                <anchor moveWithCells="1" sizeWithCells="1">
                  <from>
                    <xdr:col>8</xdr:col>
                    <xdr:colOff>0</xdr:colOff>
                    <xdr:row>4</xdr:row>
                    <xdr:rowOff>523875</xdr:rowOff>
                  </from>
                  <to>
                    <xdr:col>9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BorrarDatos">
                <anchor moveWithCells="1" sizeWithCells="1">
                  <from>
                    <xdr:col>10</xdr:col>
                    <xdr:colOff>400050</xdr:colOff>
                    <xdr:row>4</xdr:row>
                    <xdr:rowOff>542925</xdr:rowOff>
                  </from>
                  <to>
                    <xdr:col>12</xdr:col>
                    <xdr:colOff>257175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xWindow="760" yWindow="637" count="4">
        <x14:dataValidation type="list" allowBlank="1" showInputMessage="1" showErrorMessage="1" promptTitle="Variedad" prompt="Seleccione una varidad" xr:uid="{374E221D-8E65-47CC-85EE-0660CF7E9B27}">
          <x14:formula1>
            <xm:f>Listas!$A$1:$A$5</xm:f>
          </x14:formula1>
          <xm:sqref>D7:D18</xm:sqref>
        </x14:dataValidation>
        <x14:dataValidation type="list" allowBlank="1" showInputMessage="1" showErrorMessage="1" xr:uid="{8EC97976-7D92-4997-BFEF-2E102D5842A1}">
          <x14:formula1>
            <xm:f>Listas!$B$1:$B$130</xm:f>
          </x14:formula1>
          <xm:sqref>C7:C18</xm:sqref>
        </x14:dataValidation>
        <x14:dataValidation type="list" allowBlank="1" showInputMessage="1" showErrorMessage="1" xr:uid="{45B698AF-4F74-4644-A727-699C2DCCFA83}">
          <x14:formula1>
            <xm:f>Listas!$C$1:$C$2</xm:f>
          </x14:formula1>
          <xm:sqref>C2</xm:sqref>
        </x14:dataValidation>
        <x14:dataValidation type="list" allowBlank="1" showInputMessage="1" showErrorMessage="1" xr:uid="{5D0700F1-CA33-434A-9F95-E551F2679703}">
          <x14:formula1>
            <xm:f>Listas!$D$1:$D$4</xm:f>
          </x14:formula1>
          <xm:sqref>E7:E18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5D619-399D-4CE3-B33C-16E8DA84531C}">
  <sheetPr codeName="Hoja2"/>
  <dimension ref="A1:H1"/>
  <sheetViews>
    <sheetView workbookViewId="0">
      <selection activeCell="F5" sqref="F5"/>
    </sheetView>
  </sheetViews>
  <sheetFormatPr baseColWidth="10" defaultRowHeight="15" x14ac:dyDescent="0.25"/>
  <cols>
    <col min="1" max="1" width="12.140625" customWidth="1"/>
    <col min="6" max="6" width="22.5703125" customWidth="1"/>
  </cols>
  <sheetData>
    <row r="1" spans="1:8" x14ac:dyDescent="0.25">
      <c r="A1" t="s">
        <v>38</v>
      </c>
      <c r="B1" t="s">
        <v>39</v>
      </c>
      <c r="C1" t="s">
        <v>33</v>
      </c>
      <c r="D1" t="s">
        <v>36</v>
      </c>
      <c r="E1" t="s">
        <v>37</v>
      </c>
      <c r="F1" t="s">
        <v>40</v>
      </c>
      <c r="G1" t="s">
        <v>41</v>
      </c>
      <c r="H1" t="s">
        <v>42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4F815-5AE2-4A97-9F16-CB7CB30CE914}">
  <sheetPr codeName="Hoja1"/>
  <dimension ref="A1:D23"/>
  <sheetViews>
    <sheetView workbookViewId="0">
      <selection activeCell="B26" sqref="B26"/>
    </sheetView>
  </sheetViews>
  <sheetFormatPr baseColWidth="10" defaultRowHeight="15" x14ac:dyDescent="0.25"/>
  <cols>
    <col min="1" max="1" width="14.7109375" customWidth="1"/>
    <col min="2" max="2" width="40.28515625" customWidth="1"/>
    <col min="3" max="3" width="69.28515625" customWidth="1"/>
    <col min="4" max="4" width="25.85546875" customWidth="1"/>
  </cols>
  <sheetData>
    <row r="1" spans="1:4" x14ac:dyDescent="0.25">
      <c r="A1" t="s">
        <v>11</v>
      </c>
      <c r="B1" t="s">
        <v>17</v>
      </c>
      <c r="C1" t="s">
        <v>27</v>
      </c>
      <c r="D1" t="s">
        <v>30</v>
      </c>
    </row>
    <row r="2" spans="1:4" x14ac:dyDescent="0.25">
      <c r="A2" t="s">
        <v>8</v>
      </c>
      <c r="B2" t="s">
        <v>24</v>
      </c>
      <c r="C2" t="s">
        <v>26</v>
      </c>
      <c r="D2" t="s">
        <v>31</v>
      </c>
    </row>
    <row r="3" spans="1:4" x14ac:dyDescent="0.25">
      <c r="A3" t="s">
        <v>7</v>
      </c>
      <c r="B3" t="s">
        <v>20</v>
      </c>
      <c r="D3" t="s">
        <v>32</v>
      </c>
    </row>
    <row r="4" spans="1:4" x14ac:dyDescent="0.25">
      <c r="A4" t="s">
        <v>9</v>
      </c>
      <c r="B4" t="s">
        <v>21</v>
      </c>
      <c r="D4" t="s">
        <v>29</v>
      </c>
    </row>
    <row r="5" spans="1:4" x14ac:dyDescent="0.25">
      <c r="A5" t="s">
        <v>10</v>
      </c>
      <c r="B5" t="s">
        <v>18</v>
      </c>
    </row>
    <row r="6" spans="1:4" x14ac:dyDescent="0.25">
      <c r="B6" t="s">
        <v>48</v>
      </c>
    </row>
    <row r="7" spans="1:4" x14ac:dyDescent="0.25">
      <c r="B7" t="s">
        <v>50</v>
      </c>
    </row>
    <row r="8" spans="1:4" x14ac:dyDescent="0.25">
      <c r="B8" t="s">
        <v>49</v>
      </c>
    </row>
    <row r="9" spans="1:4" x14ac:dyDescent="0.25">
      <c r="B9" t="s">
        <v>47</v>
      </c>
    </row>
    <row r="10" spans="1:4" x14ac:dyDescent="0.25">
      <c r="B10" t="s">
        <v>51</v>
      </c>
    </row>
    <row r="11" spans="1:4" x14ac:dyDescent="0.25">
      <c r="B11" t="s">
        <v>22</v>
      </c>
    </row>
    <row r="12" spans="1:4" x14ac:dyDescent="0.25">
      <c r="B12" t="s">
        <v>44</v>
      </c>
    </row>
    <row r="13" spans="1:4" x14ac:dyDescent="0.25">
      <c r="B13" t="s">
        <v>15</v>
      </c>
    </row>
    <row r="14" spans="1:4" x14ac:dyDescent="0.25">
      <c r="B14" t="s">
        <v>54</v>
      </c>
    </row>
    <row r="15" spans="1:4" x14ac:dyDescent="0.25">
      <c r="B15" t="s">
        <v>55</v>
      </c>
    </row>
    <row r="16" spans="1:4" x14ac:dyDescent="0.25">
      <c r="B16" t="s">
        <v>46</v>
      </c>
    </row>
    <row r="17" spans="2:2" x14ac:dyDescent="0.25">
      <c r="B17" t="s">
        <v>57</v>
      </c>
    </row>
    <row r="18" spans="2:2" x14ac:dyDescent="0.25">
      <c r="B18" t="s">
        <v>23</v>
      </c>
    </row>
    <row r="19" spans="2:2" x14ac:dyDescent="0.25">
      <c r="B19" t="s">
        <v>56</v>
      </c>
    </row>
    <row r="20" spans="2:2" x14ac:dyDescent="0.25">
      <c r="B20" t="s">
        <v>16</v>
      </c>
    </row>
    <row r="21" spans="2:2" x14ac:dyDescent="0.25">
      <c r="B21" t="s">
        <v>19</v>
      </c>
    </row>
    <row r="22" spans="2:2" x14ac:dyDescent="0.25">
      <c r="B22" t="s">
        <v>53</v>
      </c>
    </row>
    <row r="23" spans="2:2" x14ac:dyDescent="0.25">
      <c r="B23" t="s">
        <v>45</v>
      </c>
    </row>
  </sheetData>
  <sortState xmlns:xlrd2="http://schemas.microsoft.com/office/spreadsheetml/2017/richdata2" ref="B1:B23">
    <sortCondition ref="B1:B2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BD3CF-F82E-4A73-8E03-478C258DC45D}">
  <sheetPr codeName="Hoja3"/>
  <dimension ref="A1:L52"/>
  <sheetViews>
    <sheetView topLeftCell="A16" workbookViewId="0">
      <selection activeCell="F56" sqref="F56"/>
    </sheetView>
  </sheetViews>
  <sheetFormatPr baseColWidth="10" defaultRowHeight="15" x14ac:dyDescent="0.25"/>
  <cols>
    <col min="1" max="1" width="12.42578125" style="32" customWidth="1"/>
    <col min="2" max="2" width="12.140625" style="32" customWidth="1"/>
    <col min="3" max="3" width="29.140625" style="32" customWidth="1"/>
    <col min="4" max="4" width="11.42578125" style="32"/>
    <col min="5" max="5" width="27.28515625" style="32" customWidth="1"/>
    <col min="6" max="6" width="13.85546875" style="32" customWidth="1"/>
    <col min="7" max="7" width="17.140625" style="32" customWidth="1"/>
    <col min="8" max="16384" width="11.42578125" style="32"/>
  </cols>
  <sheetData>
    <row r="1" spans="1:12" x14ac:dyDescent="0.25">
      <c r="A1" s="31" t="s">
        <v>35</v>
      </c>
      <c r="B1" s="31" t="s">
        <v>43</v>
      </c>
      <c r="C1" s="31" t="s">
        <v>33</v>
      </c>
      <c r="D1" s="31" t="s">
        <v>5</v>
      </c>
      <c r="E1" s="31" t="s">
        <v>34</v>
      </c>
      <c r="F1" s="31" t="s">
        <v>6</v>
      </c>
      <c r="G1" s="31" t="s">
        <v>28</v>
      </c>
      <c r="H1" s="33" t="s">
        <v>13</v>
      </c>
      <c r="I1" s="33" t="s">
        <v>4</v>
      </c>
      <c r="L1" s="32">
        <f t="array" aca="1" ref="L1" ca="1">OFFSET(A1,COUNTA(A:A)-1,0,COUNTA(A1:A1),1)</f>
        <v>19</v>
      </c>
    </row>
    <row r="2" spans="1:12" x14ac:dyDescent="0.25">
      <c r="A2" s="32">
        <v>1</v>
      </c>
      <c r="B2" s="34">
        <v>44577</v>
      </c>
      <c r="C2" s="34" t="s">
        <v>26</v>
      </c>
      <c r="D2" s="32">
        <v>18</v>
      </c>
      <c r="E2" s="34" t="s">
        <v>15</v>
      </c>
      <c r="F2" s="34" t="s">
        <v>7</v>
      </c>
      <c r="G2" s="34" t="s">
        <v>29</v>
      </c>
      <c r="H2" s="34"/>
      <c r="I2" s="32">
        <v>162</v>
      </c>
    </row>
    <row r="3" spans="1:12" x14ac:dyDescent="0.25">
      <c r="A3" s="32">
        <v>1</v>
      </c>
      <c r="B3" s="34">
        <v>44577</v>
      </c>
      <c r="C3" s="32" t="s">
        <v>26</v>
      </c>
      <c r="D3" s="32">
        <v>3</v>
      </c>
      <c r="E3" s="32" t="s">
        <v>44</v>
      </c>
      <c r="F3" s="32" t="s">
        <v>7</v>
      </c>
      <c r="G3" s="32" t="s">
        <v>29</v>
      </c>
      <c r="I3" s="32">
        <v>27</v>
      </c>
    </row>
    <row r="4" spans="1:12" x14ac:dyDescent="0.25">
      <c r="A4" s="32">
        <v>1</v>
      </c>
      <c r="B4" s="34">
        <v>44577</v>
      </c>
      <c r="C4" s="32" t="s">
        <v>26</v>
      </c>
      <c r="D4" s="32">
        <v>1</v>
      </c>
      <c r="E4" s="32" t="s">
        <v>24</v>
      </c>
      <c r="F4" s="32" t="s">
        <v>7</v>
      </c>
      <c r="G4" s="32" t="s">
        <v>29</v>
      </c>
      <c r="I4" s="32">
        <v>9</v>
      </c>
    </row>
    <row r="5" spans="1:12" x14ac:dyDescent="0.25">
      <c r="A5" s="32">
        <v>2</v>
      </c>
      <c r="B5" s="34">
        <v>44616</v>
      </c>
      <c r="C5" s="32" t="s">
        <v>26</v>
      </c>
      <c r="D5" s="32">
        <v>26</v>
      </c>
      <c r="E5" s="32" t="s">
        <v>15</v>
      </c>
      <c r="F5" s="32" t="s">
        <v>7</v>
      </c>
      <c r="G5" s="32" t="s">
        <v>32</v>
      </c>
      <c r="I5" s="32">
        <v>234</v>
      </c>
    </row>
    <row r="6" spans="1:12" x14ac:dyDescent="0.25">
      <c r="A6" s="32">
        <v>3</v>
      </c>
      <c r="B6" s="34">
        <v>44634</v>
      </c>
      <c r="C6" s="32" t="s">
        <v>26</v>
      </c>
      <c r="D6" s="32">
        <v>5</v>
      </c>
      <c r="E6" s="32" t="s">
        <v>22</v>
      </c>
      <c r="F6" s="32" t="s">
        <v>7</v>
      </c>
      <c r="G6" s="32" t="s">
        <v>32</v>
      </c>
      <c r="I6" s="32">
        <v>45</v>
      </c>
    </row>
    <row r="7" spans="1:12" x14ac:dyDescent="0.25">
      <c r="A7" s="32">
        <v>3</v>
      </c>
      <c r="B7" s="34">
        <v>44634</v>
      </c>
      <c r="C7" s="32" t="s">
        <v>26</v>
      </c>
      <c r="D7" s="32">
        <v>2</v>
      </c>
      <c r="E7" s="32" t="s">
        <v>45</v>
      </c>
      <c r="F7" s="32" t="s">
        <v>7</v>
      </c>
      <c r="G7" s="32" t="s">
        <v>32</v>
      </c>
      <c r="I7" s="32">
        <v>18</v>
      </c>
    </row>
    <row r="8" spans="1:12" x14ac:dyDescent="0.25">
      <c r="A8" s="32">
        <v>3</v>
      </c>
      <c r="B8" s="34">
        <v>44634</v>
      </c>
      <c r="C8" s="32" t="s">
        <v>26</v>
      </c>
      <c r="D8" s="32">
        <v>2</v>
      </c>
      <c r="E8" s="32" t="s">
        <v>45</v>
      </c>
      <c r="F8" s="32" t="s">
        <v>7</v>
      </c>
      <c r="G8" s="32" t="s">
        <v>29</v>
      </c>
      <c r="I8" s="32">
        <v>18</v>
      </c>
    </row>
    <row r="9" spans="1:12" x14ac:dyDescent="0.25">
      <c r="A9" s="32">
        <v>3</v>
      </c>
      <c r="B9" s="34">
        <v>44634</v>
      </c>
      <c r="C9" s="32" t="s">
        <v>26</v>
      </c>
      <c r="D9" s="32">
        <v>2</v>
      </c>
      <c r="E9" s="32" t="s">
        <v>46</v>
      </c>
      <c r="F9" s="32" t="s">
        <v>7</v>
      </c>
      <c r="G9" s="32" t="s">
        <v>32</v>
      </c>
      <c r="I9" s="32">
        <v>18</v>
      </c>
    </row>
    <row r="10" spans="1:12" x14ac:dyDescent="0.25">
      <c r="A10" s="32">
        <v>4</v>
      </c>
      <c r="B10" s="34">
        <v>44662</v>
      </c>
      <c r="C10" s="32" t="s">
        <v>26</v>
      </c>
      <c r="D10" s="32">
        <v>4</v>
      </c>
      <c r="E10" s="32" t="s">
        <v>47</v>
      </c>
      <c r="F10" s="32" t="s">
        <v>7</v>
      </c>
      <c r="G10" s="32" t="s">
        <v>32</v>
      </c>
      <c r="I10" s="32">
        <v>36</v>
      </c>
    </row>
    <row r="11" spans="1:12" x14ac:dyDescent="0.25">
      <c r="A11" s="32">
        <v>4</v>
      </c>
      <c r="B11" s="34">
        <v>44662</v>
      </c>
      <c r="C11" s="32" t="s">
        <v>26</v>
      </c>
      <c r="D11" s="32">
        <v>5</v>
      </c>
      <c r="E11" s="32" t="s">
        <v>52</v>
      </c>
      <c r="F11" s="32" t="s">
        <v>7</v>
      </c>
      <c r="G11" s="32" t="s">
        <v>32</v>
      </c>
      <c r="I11" s="32">
        <v>45</v>
      </c>
    </row>
    <row r="12" spans="1:12" x14ac:dyDescent="0.25">
      <c r="A12" s="32">
        <v>4</v>
      </c>
      <c r="B12" s="34">
        <v>44662</v>
      </c>
      <c r="C12" s="32" t="s">
        <v>26</v>
      </c>
      <c r="D12" s="32">
        <v>2</v>
      </c>
      <c r="E12" s="32" t="s">
        <v>50</v>
      </c>
      <c r="F12" s="32" t="s">
        <v>7</v>
      </c>
      <c r="G12" s="32" t="s">
        <v>32</v>
      </c>
      <c r="I12" s="32">
        <v>18</v>
      </c>
    </row>
    <row r="13" spans="1:12" x14ac:dyDescent="0.25">
      <c r="A13" s="32">
        <v>4</v>
      </c>
      <c r="B13" s="34">
        <v>44662</v>
      </c>
      <c r="C13" s="32" t="s">
        <v>26</v>
      </c>
      <c r="D13" s="32">
        <v>2</v>
      </c>
      <c r="E13" s="32" t="s">
        <v>16</v>
      </c>
      <c r="F13" s="32" t="s">
        <v>7</v>
      </c>
      <c r="G13" s="32" t="s">
        <v>32</v>
      </c>
      <c r="I13" s="32">
        <v>18</v>
      </c>
    </row>
    <row r="14" spans="1:12" x14ac:dyDescent="0.25">
      <c r="A14" s="32">
        <v>4</v>
      </c>
      <c r="B14" s="34">
        <v>44662</v>
      </c>
      <c r="C14" s="32" t="s">
        <v>26</v>
      </c>
      <c r="D14" s="32">
        <v>1</v>
      </c>
      <c r="E14" s="32" t="s">
        <v>49</v>
      </c>
      <c r="F14" s="32" t="s">
        <v>7</v>
      </c>
      <c r="G14" s="32" t="s">
        <v>32</v>
      </c>
      <c r="I14" s="32">
        <v>9</v>
      </c>
    </row>
    <row r="15" spans="1:12" x14ac:dyDescent="0.25">
      <c r="A15" s="32">
        <v>5</v>
      </c>
      <c r="B15" s="34">
        <v>44686</v>
      </c>
      <c r="C15" s="32" t="s">
        <v>26</v>
      </c>
      <c r="D15" s="32">
        <v>10</v>
      </c>
      <c r="E15" s="32" t="s">
        <v>23</v>
      </c>
      <c r="F15" s="32" t="s">
        <v>7</v>
      </c>
      <c r="G15" s="32" t="s">
        <v>32</v>
      </c>
      <c r="I15" s="32">
        <v>100</v>
      </c>
    </row>
    <row r="16" spans="1:12" x14ac:dyDescent="0.25">
      <c r="A16" s="32">
        <v>5</v>
      </c>
      <c r="B16" s="34">
        <v>44686</v>
      </c>
      <c r="C16" s="32" t="s">
        <v>26</v>
      </c>
      <c r="D16" s="32">
        <v>5</v>
      </c>
      <c r="E16" s="32" t="s">
        <v>51</v>
      </c>
      <c r="F16" s="32" t="s">
        <v>7</v>
      </c>
      <c r="G16" s="32" t="s">
        <v>32</v>
      </c>
      <c r="I16" s="32">
        <v>50</v>
      </c>
    </row>
    <row r="17" spans="1:9" x14ac:dyDescent="0.25">
      <c r="A17" s="32">
        <v>6</v>
      </c>
      <c r="B17" s="34">
        <v>44697</v>
      </c>
      <c r="C17" s="32" t="s">
        <v>26</v>
      </c>
      <c r="D17" s="32">
        <v>6</v>
      </c>
      <c r="E17" s="32" t="s">
        <v>15</v>
      </c>
      <c r="F17" s="32" t="s">
        <v>7</v>
      </c>
      <c r="G17" s="32" t="s">
        <v>32</v>
      </c>
      <c r="I17" s="32">
        <v>54</v>
      </c>
    </row>
    <row r="18" spans="1:9" x14ac:dyDescent="0.25">
      <c r="A18" s="32">
        <v>6</v>
      </c>
      <c r="B18" s="34">
        <v>44697</v>
      </c>
      <c r="C18" s="32" t="s">
        <v>26</v>
      </c>
      <c r="D18" s="32">
        <v>4</v>
      </c>
      <c r="E18" s="32" t="s">
        <v>52</v>
      </c>
      <c r="F18" s="32" t="s">
        <v>7</v>
      </c>
      <c r="G18" s="32" t="s">
        <v>32</v>
      </c>
      <c r="I18" s="32">
        <v>36</v>
      </c>
    </row>
    <row r="19" spans="1:9" x14ac:dyDescent="0.25">
      <c r="A19" s="32">
        <v>6</v>
      </c>
      <c r="B19" s="34">
        <v>44697</v>
      </c>
      <c r="C19" s="32" t="s">
        <v>26</v>
      </c>
      <c r="D19" s="32">
        <v>2</v>
      </c>
      <c r="E19" s="32" t="s">
        <v>16</v>
      </c>
      <c r="F19" s="32" t="s">
        <v>7</v>
      </c>
      <c r="G19" s="32" t="s">
        <v>32</v>
      </c>
      <c r="I19" s="32">
        <v>18</v>
      </c>
    </row>
    <row r="20" spans="1:9" x14ac:dyDescent="0.25">
      <c r="A20" s="32">
        <v>7</v>
      </c>
      <c r="B20" s="34">
        <v>44710</v>
      </c>
      <c r="C20" s="32" t="s">
        <v>26</v>
      </c>
      <c r="D20" s="32">
        <v>8</v>
      </c>
      <c r="E20" s="32" t="s">
        <v>23</v>
      </c>
      <c r="F20" s="32" t="s">
        <v>9</v>
      </c>
      <c r="G20" s="32" t="s">
        <v>30</v>
      </c>
      <c r="I20" s="32">
        <v>80</v>
      </c>
    </row>
    <row r="21" spans="1:9" x14ac:dyDescent="0.25">
      <c r="A21" s="32">
        <v>7</v>
      </c>
      <c r="B21" s="34">
        <v>44710</v>
      </c>
      <c r="C21" s="32" t="s">
        <v>26</v>
      </c>
      <c r="D21" s="32">
        <v>4</v>
      </c>
      <c r="E21" s="32" t="s">
        <v>51</v>
      </c>
      <c r="F21" s="32" t="s">
        <v>9</v>
      </c>
      <c r="G21" s="32" t="s">
        <v>30</v>
      </c>
      <c r="I21" s="32">
        <v>40</v>
      </c>
    </row>
    <row r="22" spans="1:9" x14ac:dyDescent="0.25">
      <c r="A22" s="32">
        <v>8</v>
      </c>
      <c r="B22" s="34">
        <v>44707</v>
      </c>
      <c r="C22" s="32" t="s">
        <v>26</v>
      </c>
      <c r="D22" s="32">
        <v>5</v>
      </c>
      <c r="E22" s="32" t="s">
        <v>22</v>
      </c>
      <c r="F22" s="32" t="s">
        <v>7</v>
      </c>
      <c r="G22" s="32" t="s">
        <v>32</v>
      </c>
      <c r="I22" s="32">
        <v>45</v>
      </c>
    </row>
    <row r="23" spans="1:9" x14ac:dyDescent="0.25">
      <c r="A23" s="32">
        <v>8</v>
      </c>
      <c r="B23" s="34">
        <v>44707</v>
      </c>
      <c r="C23" s="32" t="s">
        <v>26</v>
      </c>
      <c r="D23" s="32">
        <v>3</v>
      </c>
      <c r="E23" s="32" t="s">
        <v>22</v>
      </c>
      <c r="F23" s="32" t="s">
        <v>9</v>
      </c>
      <c r="G23" s="32" t="s">
        <v>30</v>
      </c>
      <c r="I23" s="32">
        <v>27</v>
      </c>
    </row>
    <row r="24" spans="1:9" x14ac:dyDescent="0.25">
      <c r="A24" s="32">
        <v>8</v>
      </c>
      <c r="B24" s="34">
        <v>44707</v>
      </c>
      <c r="C24" s="32" t="s">
        <v>26</v>
      </c>
      <c r="D24" s="32">
        <v>2</v>
      </c>
      <c r="E24" s="32" t="s">
        <v>22</v>
      </c>
      <c r="F24" s="32" t="s">
        <v>7</v>
      </c>
      <c r="G24" s="32" t="s">
        <v>29</v>
      </c>
      <c r="I24" s="32">
        <v>18</v>
      </c>
    </row>
    <row r="25" spans="1:9" x14ac:dyDescent="0.25">
      <c r="A25" s="32">
        <v>9</v>
      </c>
      <c r="B25" s="34">
        <v>44738</v>
      </c>
      <c r="C25" s="32" t="s">
        <v>26</v>
      </c>
      <c r="D25" s="32">
        <v>6</v>
      </c>
      <c r="E25" s="32" t="s">
        <v>23</v>
      </c>
      <c r="F25" s="32" t="s">
        <v>7</v>
      </c>
      <c r="G25" s="32" t="s">
        <v>29</v>
      </c>
      <c r="I25" s="32">
        <v>54</v>
      </c>
    </row>
    <row r="26" spans="1:9" x14ac:dyDescent="0.25">
      <c r="A26" s="32">
        <v>9</v>
      </c>
      <c r="B26" s="34">
        <v>44738</v>
      </c>
      <c r="C26" s="32" t="s">
        <v>26</v>
      </c>
      <c r="D26" s="32">
        <v>5</v>
      </c>
      <c r="E26" s="32" t="s">
        <v>22</v>
      </c>
      <c r="F26" s="32" t="s">
        <v>7</v>
      </c>
      <c r="G26" s="32" t="s">
        <v>32</v>
      </c>
      <c r="I26" s="32">
        <v>45</v>
      </c>
    </row>
    <row r="27" spans="1:9" x14ac:dyDescent="0.25">
      <c r="A27" s="32">
        <v>10</v>
      </c>
      <c r="B27" s="34">
        <v>44753</v>
      </c>
      <c r="C27" s="32" t="s">
        <v>26</v>
      </c>
      <c r="D27" s="32">
        <v>1</v>
      </c>
      <c r="E27" s="32" t="s">
        <v>53</v>
      </c>
      <c r="F27" s="32" t="s">
        <v>7</v>
      </c>
      <c r="G27" s="32" t="s">
        <v>32</v>
      </c>
      <c r="I27" s="32">
        <v>9</v>
      </c>
    </row>
    <row r="28" spans="1:9" x14ac:dyDescent="0.25">
      <c r="A28" s="32">
        <v>10</v>
      </c>
      <c r="B28" s="34">
        <v>44753</v>
      </c>
      <c r="C28" s="32" t="s">
        <v>26</v>
      </c>
      <c r="D28" s="32">
        <v>1</v>
      </c>
      <c r="E28" s="32" t="s">
        <v>53</v>
      </c>
      <c r="F28" s="32" t="s">
        <v>9</v>
      </c>
      <c r="G28" s="32" t="s">
        <v>30</v>
      </c>
      <c r="I28" s="32">
        <v>9</v>
      </c>
    </row>
    <row r="29" spans="1:9" x14ac:dyDescent="0.25">
      <c r="A29" s="32">
        <v>10</v>
      </c>
      <c r="B29" s="34">
        <v>44753</v>
      </c>
      <c r="C29" s="32" t="s">
        <v>26</v>
      </c>
      <c r="D29" s="32">
        <v>1</v>
      </c>
      <c r="E29" s="32" t="s">
        <v>48</v>
      </c>
      <c r="F29" s="32" t="s">
        <v>7</v>
      </c>
      <c r="G29" s="32" t="s">
        <v>32</v>
      </c>
      <c r="I29" s="32">
        <v>9</v>
      </c>
    </row>
    <row r="30" spans="1:9" x14ac:dyDescent="0.25">
      <c r="A30" s="32">
        <v>10</v>
      </c>
      <c r="B30" s="34">
        <v>44753</v>
      </c>
      <c r="C30" s="32" t="s">
        <v>26</v>
      </c>
      <c r="D30" s="32">
        <v>3</v>
      </c>
      <c r="E30" s="32" t="s">
        <v>22</v>
      </c>
      <c r="F30" s="32" t="s">
        <v>9</v>
      </c>
      <c r="G30" s="32" t="s">
        <v>30</v>
      </c>
      <c r="I30" s="32">
        <v>27</v>
      </c>
    </row>
    <row r="31" spans="1:9" x14ac:dyDescent="0.25">
      <c r="A31" s="32">
        <v>10</v>
      </c>
      <c r="B31" s="34">
        <v>44753</v>
      </c>
      <c r="C31" s="32" t="s">
        <v>26</v>
      </c>
      <c r="D31" s="32">
        <v>6</v>
      </c>
      <c r="E31" s="32" t="s">
        <v>20</v>
      </c>
      <c r="F31" s="32" t="s">
        <v>7</v>
      </c>
      <c r="G31" s="32" t="s">
        <v>32</v>
      </c>
      <c r="I31" s="32">
        <v>54</v>
      </c>
    </row>
    <row r="32" spans="1:9" x14ac:dyDescent="0.25">
      <c r="A32" s="32">
        <v>10</v>
      </c>
      <c r="B32" s="34">
        <v>44753</v>
      </c>
      <c r="C32" s="32" t="s">
        <v>26</v>
      </c>
      <c r="D32" s="32">
        <v>4</v>
      </c>
      <c r="E32" s="32" t="s">
        <v>54</v>
      </c>
      <c r="F32" s="32" t="s">
        <v>7</v>
      </c>
      <c r="G32" s="32" t="s">
        <v>32</v>
      </c>
      <c r="I32" s="32">
        <v>36</v>
      </c>
    </row>
    <row r="33" spans="1:9" x14ac:dyDescent="0.25">
      <c r="A33" s="32">
        <v>11</v>
      </c>
      <c r="B33" s="34">
        <v>44753</v>
      </c>
      <c r="C33" s="32" t="s">
        <v>26</v>
      </c>
      <c r="D33" s="32">
        <v>14</v>
      </c>
      <c r="E33" s="32" t="s">
        <v>23</v>
      </c>
      <c r="F33" s="32" t="s">
        <v>7</v>
      </c>
      <c r="G33" s="32" t="s">
        <v>32</v>
      </c>
      <c r="I33" s="32">
        <v>126</v>
      </c>
    </row>
    <row r="34" spans="1:9" x14ac:dyDescent="0.25">
      <c r="A34" s="32">
        <v>12</v>
      </c>
      <c r="B34" s="34">
        <v>44769</v>
      </c>
      <c r="C34" s="32" t="s">
        <v>26</v>
      </c>
      <c r="D34" s="32">
        <v>12</v>
      </c>
      <c r="E34" s="32" t="s">
        <v>15</v>
      </c>
      <c r="F34" s="32" t="s">
        <v>7</v>
      </c>
      <c r="G34" s="32" t="s">
        <v>32</v>
      </c>
      <c r="I34" s="32">
        <v>108</v>
      </c>
    </row>
    <row r="35" spans="1:9" x14ac:dyDescent="0.25">
      <c r="A35" s="32">
        <v>13</v>
      </c>
      <c r="B35" s="34">
        <v>44789</v>
      </c>
      <c r="C35" s="32" t="s">
        <v>26</v>
      </c>
      <c r="D35" s="32">
        <v>8</v>
      </c>
      <c r="E35" s="32" t="s">
        <v>15</v>
      </c>
      <c r="F35" s="32" t="s">
        <v>7</v>
      </c>
      <c r="G35" s="32" t="s">
        <v>32</v>
      </c>
      <c r="I35" s="32">
        <v>72</v>
      </c>
    </row>
    <row r="36" spans="1:9" x14ac:dyDescent="0.25">
      <c r="A36" s="32">
        <v>13</v>
      </c>
      <c r="B36" s="34">
        <v>44789</v>
      </c>
      <c r="C36" s="32" t="s">
        <v>26</v>
      </c>
      <c r="D36" s="32">
        <v>2</v>
      </c>
      <c r="E36" s="32" t="s">
        <v>16</v>
      </c>
      <c r="F36" s="32" t="s">
        <v>7</v>
      </c>
      <c r="G36" s="32" t="s">
        <v>32</v>
      </c>
      <c r="I36" s="32">
        <v>18</v>
      </c>
    </row>
    <row r="37" spans="1:9" x14ac:dyDescent="0.25">
      <c r="A37" s="32">
        <v>14</v>
      </c>
      <c r="B37" s="34">
        <v>44816</v>
      </c>
      <c r="C37" s="32" t="s">
        <v>26</v>
      </c>
      <c r="D37" s="32">
        <v>4</v>
      </c>
      <c r="E37" s="32" t="s">
        <v>20</v>
      </c>
      <c r="F37" s="32" t="s">
        <v>7</v>
      </c>
      <c r="G37" s="32" t="s">
        <v>29</v>
      </c>
      <c r="I37" s="32">
        <v>36</v>
      </c>
    </row>
    <row r="38" spans="1:9" x14ac:dyDescent="0.25">
      <c r="A38" s="32">
        <v>14</v>
      </c>
      <c r="B38" s="34">
        <v>44816</v>
      </c>
      <c r="C38" s="32" t="s">
        <v>26</v>
      </c>
      <c r="D38" s="32">
        <v>2</v>
      </c>
      <c r="E38" s="32" t="s">
        <v>22</v>
      </c>
      <c r="F38" s="32" t="s">
        <v>7</v>
      </c>
      <c r="G38" s="32" t="s">
        <v>29</v>
      </c>
      <c r="I38" s="32">
        <v>18</v>
      </c>
    </row>
    <row r="39" spans="1:9" x14ac:dyDescent="0.25">
      <c r="A39" s="32">
        <v>14</v>
      </c>
      <c r="B39" s="34">
        <v>44816</v>
      </c>
      <c r="C39" s="32" t="s">
        <v>26</v>
      </c>
      <c r="D39" s="32">
        <v>2</v>
      </c>
      <c r="E39" s="32" t="s">
        <v>45</v>
      </c>
      <c r="F39" s="32" t="s">
        <v>7</v>
      </c>
      <c r="G39" s="32" t="s">
        <v>32</v>
      </c>
      <c r="I39" s="32">
        <v>18</v>
      </c>
    </row>
    <row r="40" spans="1:9" x14ac:dyDescent="0.25">
      <c r="A40" s="32">
        <v>14</v>
      </c>
      <c r="B40" s="34">
        <v>44816</v>
      </c>
      <c r="C40" s="32" t="s">
        <v>26</v>
      </c>
      <c r="D40" s="32">
        <v>2</v>
      </c>
      <c r="E40" s="32" t="s">
        <v>55</v>
      </c>
      <c r="F40" s="32" t="s">
        <v>7</v>
      </c>
      <c r="G40" s="32" t="s">
        <v>32</v>
      </c>
      <c r="I40" s="32">
        <v>18</v>
      </c>
    </row>
    <row r="41" spans="1:9" x14ac:dyDescent="0.25">
      <c r="A41" s="32">
        <v>14</v>
      </c>
      <c r="B41" s="34">
        <v>44816</v>
      </c>
      <c r="C41" s="32" t="s">
        <v>26</v>
      </c>
      <c r="D41" s="32">
        <v>2</v>
      </c>
      <c r="E41" s="32" t="s">
        <v>19</v>
      </c>
      <c r="F41" s="32" t="s">
        <v>7</v>
      </c>
      <c r="G41" s="32" t="s">
        <v>32</v>
      </c>
      <c r="I41" s="32">
        <v>18</v>
      </c>
    </row>
    <row r="42" spans="1:9" x14ac:dyDescent="0.25">
      <c r="A42" s="32">
        <v>15</v>
      </c>
      <c r="B42" s="34">
        <v>44830</v>
      </c>
      <c r="C42" s="32" t="s">
        <v>26</v>
      </c>
      <c r="D42" s="32">
        <v>4</v>
      </c>
      <c r="E42" s="32" t="s">
        <v>22</v>
      </c>
      <c r="F42" s="32" t="s">
        <v>7</v>
      </c>
      <c r="G42" s="32" t="s">
        <v>32</v>
      </c>
      <c r="I42" s="32">
        <v>36</v>
      </c>
    </row>
    <row r="43" spans="1:9" x14ac:dyDescent="0.25">
      <c r="A43" s="32">
        <v>15</v>
      </c>
      <c r="B43" s="34">
        <v>44830</v>
      </c>
      <c r="C43" s="32" t="s">
        <v>26</v>
      </c>
      <c r="D43" s="32">
        <v>2</v>
      </c>
      <c r="E43" s="32" t="s">
        <v>56</v>
      </c>
      <c r="F43" s="32" t="s">
        <v>7</v>
      </c>
      <c r="G43" s="32" t="s">
        <v>32</v>
      </c>
      <c r="I43" s="32">
        <v>18</v>
      </c>
    </row>
    <row r="44" spans="1:9" x14ac:dyDescent="0.25">
      <c r="A44" s="32">
        <v>16</v>
      </c>
      <c r="B44" s="34">
        <v>44830</v>
      </c>
      <c r="C44" s="32" t="s">
        <v>26</v>
      </c>
      <c r="D44" s="32">
        <v>18</v>
      </c>
      <c r="E44" s="32" t="s">
        <v>19</v>
      </c>
      <c r="F44" s="32" t="s">
        <v>7</v>
      </c>
      <c r="G44" s="32" t="s">
        <v>32</v>
      </c>
      <c r="I44" s="32">
        <v>162</v>
      </c>
    </row>
    <row r="45" spans="1:9" x14ac:dyDescent="0.25">
      <c r="A45" s="32">
        <v>17</v>
      </c>
      <c r="B45" s="34">
        <v>44869</v>
      </c>
      <c r="C45" s="32" t="s">
        <v>26</v>
      </c>
      <c r="D45" s="32">
        <v>4</v>
      </c>
      <c r="E45" s="32" t="s">
        <v>56</v>
      </c>
      <c r="F45" s="32" t="s">
        <v>7</v>
      </c>
      <c r="G45" s="32" t="s">
        <v>32</v>
      </c>
      <c r="I45" s="32">
        <v>36</v>
      </c>
    </row>
    <row r="46" spans="1:9" x14ac:dyDescent="0.25">
      <c r="A46" s="32">
        <v>17</v>
      </c>
      <c r="B46" s="34">
        <v>44869</v>
      </c>
      <c r="C46" s="32" t="s">
        <v>26</v>
      </c>
      <c r="D46" s="32">
        <v>2</v>
      </c>
      <c r="E46" s="32" t="s">
        <v>56</v>
      </c>
      <c r="F46" s="32" t="s">
        <v>7</v>
      </c>
      <c r="G46" s="32" t="s">
        <v>29</v>
      </c>
      <c r="I46" s="32">
        <v>18</v>
      </c>
    </row>
    <row r="47" spans="1:9" x14ac:dyDescent="0.25">
      <c r="A47" s="32">
        <v>17</v>
      </c>
      <c r="B47" s="34">
        <v>44869</v>
      </c>
      <c r="C47" s="32" t="s">
        <v>26</v>
      </c>
      <c r="D47" s="32">
        <v>4</v>
      </c>
      <c r="E47" s="32" t="s">
        <v>57</v>
      </c>
      <c r="F47" s="32" t="s">
        <v>7</v>
      </c>
      <c r="G47" s="32" t="s">
        <v>32</v>
      </c>
      <c r="I47" s="32">
        <v>36</v>
      </c>
    </row>
    <row r="48" spans="1:9" x14ac:dyDescent="0.25">
      <c r="A48" s="32">
        <v>17</v>
      </c>
      <c r="B48" s="34">
        <v>44869</v>
      </c>
      <c r="C48" s="32" t="s">
        <v>26</v>
      </c>
      <c r="D48" s="32">
        <v>2</v>
      </c>
      <c r="E48" s="32" t="s">
        <v>57</v>
      </c>
      <c r="F48" s="32" t="s">
        <v>7</v>
      </c>
      <c r="G48" s="32" t="s">
        <v>29</v>
      </c>
      <c r="I48" s="32">
        <v>18</v>
      </c>
    </row>
    <row r="49" spans="1:9" x14ac:dyDescent="0.25">
      <c r="A49" s="32">
        <v>18</v>
      </c>
      <c r="B49" s="34">
        <v>44893</v>
      </c>
      <c r="C49" s="32" t="s">
        <v>26</v>
      </c>
      <c r="D49" s="32">
        <v>4</v>
      </c>
      <c r="E49" s="32" t="s">
        <v>23</v>
      </c>
      <c r="F49" s="32" t="s">
        <v>7</v>
      </c>
      <c r="G49" s="32" t="s">
        <v>29</v>
      </c>
      <c r="I49" s="32">
        <v>40</v>
      </c>
    </row>
    <row r="50" spans="1:9" x14ac:dyDescent="0.25">
      <c r="A50" s="32">
        <v>18</v>
      </c>
      <c r="B50" s="34">
        <v>44893</v>
      </c>
      <c r="C50" s="32" t="s">
        <v>26</v>
      </c>
      <c r="D50" s="32">
        <v>7</v>
      </c>
      <c r="E50" s="32" t="s">
        <v>23</v>
      </c>
      <c r="F50" s="32" t="s">
        <v>9</v>
      </c>
      <c r="G50" s="32" t="s">
        <v>30</v>
      </c>
      <c r="I50" s="32">
        <v>70</v>
      </c>
    </row>
    <row r="51" spans="1:9" x14ac:dyDescent="0.25">
      <c r="A51" s="32">
        <v>19</v>
      </c>
      <c r="B51" s="34">
        <v>44916</v>
      </c>
      <c r="C51" s="32" t="s">
        <v>26</v>
      </c>
      <c r="D51" s="32">
        <v>5</v>
      </c>
      <c r="E51" s="32" t="s">
        <v>22</v>
      </c>
      <c r="F51" s="32" t="s">
        <v>7</v>
      </c>
      <c r="G51" s="32" t="s">
        <v>32</v>
      </c>
      <c r="I51" s="32">
        <v>45</v>
      </c>
    </row>
    <row r="52" spans="1:9" x14ac:dyDescent="0.25">
      <c r="A52" s="32">
        <v>19</v>
      </c>
      <c r="B52" s="34">
        <v>44916</v>
      </c>
      <c r="C52" s="32" t="s">
        <v>26</v>
      </c>
      <c r="D52" s="32">
        <v>2</v>
      </c>
      <c r="E52" s="32" t="s">
        <v>22</v>
      </c>
      <c r="F52" s="32" t="s">
        <v>7</v>
      </c>
      <c r="G52" s="32" t="s">
        <v>29</v>
      </c>
      <c r="I52" s="32">
        <v>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3260-1E4D-4E31-AAF1-27FA218F893F}">
  <dimension ref="A1:C58"/>
  <sheetViews>
    <sheetView tabSelected="1" workbookViewId="0">
      <selection activeCell="A7" sqref="A7"/>
    </sheetView>
  </sheetViews>
  <sheetFormatPr baseColWidth="10" defaultRowHeight="15" x14ac:dyDescent="0.25"/>
  <cols>
    <col min="1" max="1" width="24.42578125" style="32" bestFit="1" customWidth="1"/>
    <col min="2" max="2" width="14.5703125" style="32" bestFit="1" customWidth="1"/>
    <col min="3" max="3" width="14" style="32" bestFit="1" customWidth="1"/>
  </cols>
  <sheetData>
    <row r="1" spans="1:3" x14ac:dyDescent="0.25">
      <c r="A1" s="38" t="s">
        <v>28</v>
      </c>
      <c r="B1" t="s">
        <v>32</v>
      </c>
    </row>
    <row r="2" spans="1:3" x14ac:dyDescent="0.25">
      <c r="A2" s="38" t="s">
        <v>34</v>
      </c>
      <c r="B2" t="s">
        <v>62</v>
      </c>
    </row>
    <row r="3" spans="1:3" x14ac:dyDescent="0.25">
      <c r="C3"/>
    </row>
    <row r="4" spans="1:3" x14ac:dyDescent="0.25">
      <c r="A4" s="35" t="s">
        <v>58</v>
      </c>
      <c r="B4" s="32" t="s">
        <v>61</v>
      </c>
      <c r="C4" s="32" t="s">
        <v>60</v>
      </c>
    </row>
    <row r="5" spans="1:3" x14ac:dyDescent="0.25">
      <c r="A5" s="32" t="s">
        <v>26</v>
      </c>
      <c r="B5" s="39">
        <v>1608</v>
      </c>
      <c r="C5" s="39">
        <v>177</v>
      </c>
    </row>
    <row r="6" spans="1:3" x14ac:dyDescent="0.25">
      <c r="A6" s="40" t="s">
        <v>7</v>
      </c>
      <c r="B6" s="39">
        <v>1608</v>
      </c>
      <c r="C6" s="39">
        <v>177</v>
      </c>
    </row>
    <row r="7" spans="1:3" x14ac:dyDescent="0.25">
      <c r="A7" s="41" t="s">
        <v>63</v>
      </c>
      <c r="B7" s="39">
        <v>234</v>
      </c>
      <c r="C7" s="39">
        <v>26</v>
      </c>
    </row>
    <row r="8" spans="1:3" x14ac:dyDescent="0.25">
      <c r="A8" s="41" t="s">
        <v>64</v>
      </c>
      <c r="B8" s="39">
        <v>81</v>
      </c>
      <c r="C8" s="39">
        <v>9</v>
      </c>
    </row>
    <row r="9" spans="1:3" x14ac:dyDescent="0.25">
      <c r="A9" s="41" t="s">
        <v>65</v>
      </c>
      <c r="B9" s="39">
        <v>126</v>
      </c>
      <c r="C9" s="39">
        <v>14</v>
      </c>
    </row>
    <row r="10" spans="1:3" x14ac:dyDescent="0.25">
      <c r="A10" s="41" t="s">
        <v>66</v>
      </c>
      <c r="B10" s="39">
        <v>303</v>
      </c>
      <c r="C10" s="39">
        <v>32</v>
      </c>
    </row>
    <row r="11" spans="1:3" x14ac:dyDescent="0.25">
      <c r="A11" s="41" t="s">
        <v>67</v>
      </c>
      <c r="B11" s="39">
        <v>45</v>
      </c>
      <c r="C11" s="39">
        <v>5</v>
      </c>
    </row>
    <row r="12" spans="1:3" x14ac:dyDescent="0.25">
      <c r="A12" s="41" t="s">
        <v>68</v>
      </c>
      <c r="B12" s="39">
        <v>342</v>
      </c>
      <c r="C12" s="39">
        <v>38</v>
      </c>
    </row>
    <row r="13" spans="1:3" x14ac:dyDescent="0.25">
      <c r="A13" s="41" t="s">
        <v>69</v>
      </c>
      <c r="B13" s="39">
        <v>90</v>
      </c>
      <c r="C13" s="39">
        <v>10</v>
      </c>
    </row>
    <row r="14" spans="1:3" x14ac:dyDescent="0.25">
      <c r="A14" s="41" t="s">
        <v>70</v>
      </c>
      <c r="B14" s="39">
        <v>270</v>
      </c>
      <c r="C14" s="39">
        <v>30</v>
      </c>
    </row>
    <row r="15" spans="1:3" x14ac:dyDescent="0.25">
      <c r="A15" s="41" t="s">
        <v>71</v>
      </c>
      <c r="B15" s="39">
        <v>72</v>
      </c>
      <c r="C15" s="39">
        <v>8</v>
      </c>
    </row>
    <row r="16" spans="1:3" x14ac:dyDescent="0.25">
      <c r="A16" s="41" t="s">
        <v>72</v>
      </c>
      <c r="B16" s="39">
        <v>45</v>
      </c>
      <c r="C16" s="39">
        <v>5</v>
      </c>
    </row>
    <row r="17" spans="1:3" x14ac:dyDescent="0.25">
      <c r="A17" s="32" t="s">
        <v>59</v>
      </c>
      <c r="B17" s="39">
        <v>1608</v>
      </c>
      <c r="C17" s="39">
        <v>177</v>
      </c>
    </row>
    <row r="18" spans="1:3" x14ac:dyDescent="0.25">
      <c r="A18"/>
      <c r="B18"/>
      <c r="C18"/>
    </row>
    <row r="19" spans="1:3" x14ac:dyDescent="0.25">
      <c r="A19"/>
      <c r="B19"/>
      <c r="C19"/>
    </row>
    <row r="20" spans="1:3" x14ac:dyDescent="0.25">
      <c r="A20"/>
      <c r="B20"/>
      <c r="C20"/>
    </row>
    <row r="21" spans="1:3" x14ac:dyDescent="0.25">
      <c r="A21"/>
      <c r="B21"/>
      <c r="C21"/>
    </row>
    <row r="22" spans="1:3" x14ac:dyDescent="0.25">
      <c r="C22"/>
    </row>
    <row r="23" spans="1:3" x14ac:dyDescent="0.25">
      <c r="C23"/>
    </row>
    <row r="24" spans="1:3" x14ac:dyDescent="0.25">
      <c r="C24"/>
    </row>
    <row r="25" spans="1:3" x14ac:dyDescent="0.25">
      <c r="C25"/>
    </row>
    <row r="26" spans="1:3" x14ac:dyDescent="0.25">
      <c r="C26"/>
    </row>
    <row r="27" spans="1:3" x14ac:dyDescent="0.25">
      <c r="C27"/>
    </row>
    <row r="28" spans="1:3" x14ac:dyDescent="0.25">
      <c r="C28"/>
    </row>
    <row r="29" spans="1:3" x14ac:dyDescent="0.25">
      <c r="C29"/>
    </row>
    <row r="30" spans="1:3" x14ac:dyDescent="0.25">
      <c r="C30"/>
    </row>
    <row r="31" spans="1:3" x14ac:dyDescent="0.25">
      <c r="C31"/>
    </row>
    <row r="32" spans="1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  <row r="45" spans="3:3" x14ac:dyDescent="0.25">
      <c r="C45"/>
    </row>
    <row r="46" spans="3:3" x14ac:dyDescent="0.25">
      <c r="C46"/>
    </row>
    <row r="47" spans="3:3" x14ac:dyDescent="0.25">
      <c r="C47"/>
    </row>
    <row r="48" spans="3:3" x14ac:dyDescent="0.25">
      <c r="C48"/>
    </row>
    <row r="49" spans="3:3" x14ac:dyDescent="0.25">
      <c r="C49"/>
    </row>
    <row r="50" spans="3:3" x14ac:dyDescent="0.25">
      <c r="C50"/>
    </row>
    <row r="51" spans="3:3" x14ac:dyDescent="0.25">
      <c r="C51"/>
    </row>
    <row r="52" spans="3:3" x14ac:dyDescent="0.25">
      <c r="C52"/>
    </row>
    <row r="53" spans="3:3" x14ac:dyDescent="0.25">
      <c r="C53"/>
    </row>
    <row r="54" spans="3:3" x14ac:dyDescent="0.25">
      <c r="C54"/>
    </row>
    <row r="55" spans="3:3" x14ac:dyDescent="0.25">
      <c r="C55"/>
    </row>
    <row r="56" spans="3:3" x14ac:dyDescent="0.25">
      <c r="C56"/>
    </row>
    <row r="57" spans="3:3" x14ac:dyDescent="0.25">
      <c r="C57"/>
    </row>
    <row r="58" spans="3:3" x14ac:dyDescent="0.25">
      <c r="C58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8F65E54-D9AD-4752-9925-FA10CA3AB8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TM03987161</Templat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6</vt:i4>
      </vt:variant>
    </vt:vector>
  </HeadingPairs>
  <TitlesOfParts>
    <vt:vector size="11" baseType="lpstr">
      <vt:lpstr>Factura</vt:lpstr>
      <vt:lpstr>Clientes</vt:lpstr>
      <vt:lpstr>Listas</vt:lpstr>
      <vt:lpstr>Trabajos</vt:lpstr>
      <vt:lpstr>Gastos</vt:lpstr>
      <vt:lpstr>NombreCliente</vt:lpstr>
      <vt:lpstr>Nombrede_la_empresa</vt:lpstr>
      <vt:lpstr>RowTitleRegion1..C7</vt:lpstr>
      <vt:lpstr>RowTitleRegion2..G5</vt:lpstr>
      <vt:lpstr>TítuloDeColumna1</vt:lpstr>
      <vt:lpstr>'Factura'!Títulos_a_imprimir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2021-12-28T18:20:38Z</dcterms:created>
  <dcterms:modified xsi:type="dcterms:W3CDTF">2025-03-20T06:09:11Z</dcterms:modified>
</cp:coreProperties>
</file>