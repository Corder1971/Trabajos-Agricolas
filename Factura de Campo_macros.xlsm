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B0A642F5-0BB6-4DD4-BC26-11C0DC18DD7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functionGroups builtInGroupCount="19"/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G2" i="1" l="1"/>
  <c r="G8" i="1"/>
  <c r="G9" i="1"/>
  <c r="G10" i="1"/>
  <c r="G11" i="1"/>
  <c r="G12" i="1"/>
  <c r="G13" i="1"/>
  <c r="G14" i="1"/>
  <c r="G15" i="1"/>
  <c r="G16" i="1"/>
  <c r="G17" i="1"/>
  <c r="G18" i="1"/>
  <c r="G7" i="1"/>
  <c r="E2" i="1"/>
  <c r="C3" i="1"/>
  <c r="J1" i="3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<sst xmlns="http://schemas.openxmlformats.org/spreadsheetml/2006/main" count="84" uniqueCount="60">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</sst>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  <numFmt numFmtId="169" formatCode="dd/mm/yyyy"/>
  </numFmts>
  <fonts count="27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39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0" fontId="25" fillId="0" borderId="0" xfId="0" applyFont="1">
      <alignment horizontal="left" vertical="center" wrapText="1" indent="1"/>
    </xf>
    <xf numFmtId="168" fontId="26" fillId="0" borderId="0" xfId="0" applyNumberFormat="1" applyFont="1">
      <alignment horizontal="left" vertical="center" wrapText="1" indent="1"/>
    </xf>
    <xf numFmtId="0" fontId="26" fillId="0" borderId="0" xfId="2" applyNumberFormat="1" applyFont="1" applyAlignment="1" applyProtection="1">
      <alignment horizontal="left" vertical="center"/>
    </xf>
    <xf numFmtId="44" fontId="16" fillId="0" borderId="0" xfId="0" applyNumberFormat="1" applyFont="1">
      <alignment horizontal="left" vertical="center" wrapText="1" indent="1"/>
    </xf>
    <xf numFmtId="0" fontId="14" fillId="5" borderId="1" xfId="15" applyBorder="1">
      <alignment horizontal="left" vertical="top" wrapText="1" indent="1"/>
    </xf>
    <xf numFmtId="169" fontId="21" fillId="0" borderId="0" xfId="18" applyNumberFormat="1" applyFont="1" applyAlignment="1">
      <alignment horizontal="left" vertical="center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238125</xdr:rowOff>
        </xdr:from>
        <xdr:to>
          <xdr:col>9</xdr:col>
          <xdr:colOff>419100</xdr:colOff>
          <xdr:row>4</xdr:row>
          <xdr:rowOff>219075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Buscar Factura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5"/>
    <tableColumn id="2" xr3:uid="{00000000-0010-0000-0000-000002000000}" name="Trabajos" dataDxfId="4"/>
    <tableColumn id="7" xr3:uid="{00000000-0010-0000-0000-000007000000}" name="Variedad" dataDxfId="3"/>
    <tableColumn id="8" xr3:uid="{00000000-0010-0000-0000-000008000000}" name="Partida" dataDxfId="2"/>
    <tableColumn id="10" xr3:uid="{00000000-0010-0000-0000-00000A000000}" name="Parcela" dataDxfId="1"/>
    <tableColumn id="11" xr3:uid="{00000000-0010-0000-0000-00000B000000}" name="Precio" dataDxfId="0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G2" sqref="G2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3"/>
      <c r="B1" s="31"/>
      <c r="C1" s="31"/>
      <c r="D1" s="30" t="s">
        <v>59</v>
      </c>
      <c r="E1" s="31"/>
      <c r="F1" s="31"/>
      <c r="G1" s="32"/>
    </row>
    <row r="2" spans="1:7" ht="24" customHeight="1" thickTop="1" x14ac:dyDescent="0.25">
      <c r="B2" s="16" t="s">
        <v>12</v>
      </c>
      <c r="C2" s="35"/>
      <c r="D2" s="13" t="s">
        <v>26</v>
      </c>
      <c r="E2" s="33" t="str">
        <f>IF(C2="","",VLOOKUP(C2,Clientes!C:G,5,FALSE))</f>
        <v/>
      </c>
      <c r="F2" s="15" t="s">
        <v>1</v>
      </c>
      <c r="G2" s="34">
        <f ca="1">IF(Trabajos!J1="CodFactura",1,Trabajos!J1+1)</f>
        <v>3</v>
      </c>
    </row>
    <row r="3" spans="1:7" ht="20.100000000000001" customHeight="1" x14ac:dyDescent="0.25">
      <c r="B3" s="16" t="s">
        <v>0</v>
      </c>
      <c r="C3" s="33" t="str">
        <f>IF(C2="","",VLOOKUP(C2,Clientes!C:D,2,FALSE))</f>
        <v/>
      </c>
      <c r="F3" s="14" t="s">
        <v>2</v>
      </c>
      <c r="G3" s="38"/>
    </row>
    <row r="4" spans="1:7" ht="20.100000000000001" customHeight="1" x14ac:dyDescent="0.25">
      <c r="B4" s="5"/>
      <c r="C4" s="5"/>
      <c r="F4" s="2"/>
      <c r="G4" s="1"/>
    </row>
    <row r="5" spans="1:7" ht="44.1" customHeight="1" x14ac:dyDescent="0.25">
      <c r="D5" s="4"/>
      <c r="E5" s="29"/>
      <c r="F5" s="29"/>
      <c r="G5" s="29"/>
    </row>
    <row r="6" spans="1:7" ht="33.950000000000003" customHeight="1" x14ac:dyDescent="0.25">
      <c r="B6" s="8" t="s">
        <v>5</v>
      </c>
      <c r="C6" s="8" t="s">
        <v>14</v>
      </c>
      <c r="D6" s="8" t="s">
        <v>6</v>
      </c>
      <c r="E6" s="8" t="s">
        <v>29</v>
      </c>
      <c r="F6" s="8" t="s">
        <v>13</v>
      </c>
      <c r="G6" s="8" t="s">
        <v>4</v>
      </c>
    </row>
    <row r="7" spans="1:7" ht="33.950000000000003" customHeight="1" x14ac:dyDescent="0.25">
      <c r="B7" s="19"/>
      <c r="C7" s="12"/>
      <c r="D7" s="9"/>
      <c r="E7" s="18"/>
      <c r="F7" s="17"/>
      <c r="G7" s="36">
        <f>B7*10</f>
        <v>0</v>
      </c>
    </row>
    <row r="8" spans="1:7" ht="33.950000000000003" customHeight="1" x14ac:dyDescent="0.25">
      <c r="B8" s="19"/>
      <c r="C8" s="12"/>
      <c r="D8" s="9"/>
      <c r="E8" s="18"/>
      <c r="F8" s="17"/>
      <c r="G8" s="36">
        <f t="shared" ref="G8:G18" si="0">B8*10</f>
        <v>0</v>
      </c>
    </row>
    <row r="9" spans="1:7" ht="33.950000000000003" customHeight="1" x14ac:dyDescent="0.25">
      <c r="B9" s="19"/>
      <c r="C9" s="12"/>
      <c r="D9" s="9"/>
      <c r="E9" s="18"/>
      <c r="F9" s="17"/>
      <c r="G9" s="36">
        <f t="shared" si="0"/>
        <v>0</v>
      </c>
    </row>
    <row r="10" spans="1:7" ht="33.950000000000003" customHeight="1" x14ac:dyDescent="0.25">
      <c r="B10" s="19"/>
      <c r="C10" s="12"/>
      <c r="D10" s="9"/>
      <c r="E10" s="18"/>
      <c r="F10" s="17"/>
      <c r="G10" s="36">
        <f t="shared" si="0"/>
        <v>0</v>
      </c>
    </row>
    <row r="11" spans="1:7" ht="33.950000000000003" customHeight="1" x14ac:dyDescent="0.25">
      <c r="B11" s="19"/>
      <c r="C11" s="12"/>
      <c r="D11" s="9"/>
      <c r="E11" s="18"/>
      <c r="F11" s="17"/>
      <c r="G11" s="36">
        <f t="shared" si="0"/>
        <v>0</v>
      </c>
    </row>
    <row r="12" spans="1:7" ht="33.950000000000003" customHeight="1" x14ac:dyDescent="0.25">
      <c r="B12" s="19"/>
      <c r="C12" s="12"/>
      <c r="D12" s="9"/>
      <c r="E12" s="18"/>
      <c r="F12" s="17"/>
      <c r="G12" s="36">
        <f t="shared" si="0"/>
        <v>0</v>
      </c>
    </row>
    <row r="13" spans="1:7" ht="33.950000000000003" customHeight="1" x14ac:dyDescent="0.25">
      <c r="B13" s="19"/>
      <c r="C13" s="12"/>
      <c r="D13" s="9"/>
      <c r="E13" s="18"/>
      <c r="F13" s="17"/>
      <c r="G13" s="36">
        <f t="shared" si="0"/>
        <v>0</v>
      </c>
    </row>
    <row r="14" spans="1:7" ht="33.950000000000003" customHeight="1" x14ac:dyDescent="0.25">
      <c r="B14" s="19"/>
      <c r="C14" s="12"/>
      <c r="D14" s="9"/>
      <c r="E14" s="18"/>
      <c r="F14" s="17"/>
      <c r="G14" s="36">
        <f t="shared" si="0"/>
        <v>0</v>
      </c>
    </row>
    <row r="15" spans="1:7" ht="33.950000000000003" customHeight="1" x14ac:dyDescent="0.25">
      <c r="B15" s="19"/>
      <c r="C15" s="12"/>
      <c r="D15" s="9"/>
      <c r="E15" s="18"/>
      <c r="F15" s="17"/>
      <c r="G15" s="36">
        <f t="shared" si="0"/>
        <v>0</v>
      </c>
    </row>
    <row r="16" spans="1:7" ht="33.950000000000003" customHeight="1" x14ac:dyDescent="0.25">
      <c r="B16" s="20"/>
      <c r="C16" s="12"/>
      <c r="D16" s="11"/>
      <c r="E16" s="21"/>
      <c r="F16" s="17"/>
      <c r="G16" s="36">
        <f t="shared" si="0"/>
        <v>0</v>
      </c>
    </row>
    <row r="17" spans="2:9" ht="33.950000000000003" customHeight="1" x14ac:dyDescent="0.25">
      <c r="B17" s="20"/>
      <c r="C17" s="12"/>
      <c r="D17" s="11"/>
      <c r="E17" s="21"/>
      <c r="F17" s="17"/>
      <c r="G17" s="36">
        <f t="shared" si="0"/>
        <v>0</v>
      </c>
      <c r="I17" s="6"/>
    </row>
    <row r="18" spans="2:9" ht="33.950000000000003" customHeight="1" x14ac:dyDescent="0.25">
      <c r="B18" s="20"/>
      <c r="C18" s="12"/>
      <c r="D18" s="11"/>
      <c r="E18" s="21"/>
      <c r="F18" s="17"/>
      <c r="G18" s="36">
        <f t="shared" si="0"/>
        <v>0</v>
      </c>
    </row>
    <row r="19" spans="2:9" ht="33.950000000000003" customHeight="1" x14ac:dyDescent="0.25">
      <c r="B19" s="37"/>
      <c r="C19" s="37"/>
      <c r="D19" s="37"/>
      <c r="E19" s="37"/>
      <c r="F19" s="10" t="s">
        <v>3</v>
      </c>
      <c r="G19" s="7">
        <f>SUM(G7:G17)</f>
        <v>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8">
    <cfRule type="expression" dxfId="7" priority="1">
      <formula>MOD(ROW(),2)=1</formula>
    </cfRule>
    <cfRule type="expression" dxfId="6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8</xdr:col>
                    <xdr:colOff>28575</xdr:colOff>
                    <xdr:row>2</xdr:row>
                    <xdr:rowOff>238125</xdr:rowOff>
                  </from>
                  <to>
                    <xdr:col>9</xdr:col>
                    <xdr:colOff>419100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8" customWidth="1"/>
    <col min="2" max="2" width="14.42578125" customWidth="1"/>
    <col min="3" max="3" width="36.42578125" customWidth="1"/>
    <col min="4" max="4" width="22.5703125" style="23" customWidth="1"/>
    <col min="5" max="5" width="11.28515625" style="23" customWidth="1"/>
    <col min="6" max="6" width="12.5703125" style="23" customWidth="1"/>
    <col min="7" max="7" width="12.5703125" customWidth="1"/>
  </cols>
  <sheetData>
    <row r="1" spans="1:7" x14ac:dyDescent="0.25">
      <c r="A1" s="28" t="s">
        <v>37</v>
      </c>
      <c r="B1" t="s">
        <v>38</v>
      </c>
      <c r="C1" s="23" t="s">
        <v>34</v>
      </c>
      <c r="D1" s="23" t="s">
        <v>39</v>
      </c>
      <c r="E1" s="23" t="s">
        <v>54</v>
      </c>
      <c r="F1" s="23" t="s">
        <v>40</v>
      </c>
      <c r="G1" t="s">
        <v>41</v>
      </c>
    </row>
    <row r="2" spans="1:7" x14ac:dyDescent="0.25">
      <c r="A2" s="28">
        <v>1</v>
      </c>
      <c r="B2" t="s">
        <v>51</v>
      </c>
      <c r="C2" t="s">
        <v>58</v>
      </c>
      <c r="D2" s="23" t="s">
        <v>52</v>
      </c>
      <c r="E2" s="23">
        <v>31</v>
      </c>
      <c r="F2" s="23" t="s">
        <v>53</v>
      </c>
      <c r="G2">
        <v>646061772</v>
      </c>
    </row>
    <row r="3" spans="1:7" x14ac:dyDescent="0.25">
      <c r="A3" s="28">
        <v>2</v>
      </c>
      <c r="B3" t="s">
        <v>55</v>
      </c>
      <c r="C3" t="s">
        <v>27</v>
      </c>
      <c r="D3" s="23" t="s">
        <v>56</v>
      </c>
      <c r="E3" s="23">
        <v>25</v>
      </c>
      <c r="F3" s="23" t="s">
        <v>53</v>
      </c>
      <c r="G3">
        <v>656535755</v>
      </c>
    </row>
    <row r="4" spans="1:7" x14ac:dyDescent="0.25">
      <c r="A4" s="28">
        <v>3</v>
      </c>
      <c r="B4" t="s">
        <v>57</v>
      </c>
      <c r="C4" t="s">
        <v>28</v>
      </c>
      <c r="D4" s="23" t="s">
        <v>56</v>
      </c>
      <c r="E4" s="23">
        <v>25</v>
      </c>
      <c r="F4" s="23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6"/>
  <sheetViews>
    <sheetView workbookViewId="0">
      <selection activeCell="A16" sqref="A16"/>
    </sheetView>
  </sheetViews>
  <sheetFormatPr baseColWidth="10" defaultRowHeight="15" x14ac:dyDescent="0.25"/>
  <cols>
    <col min="1" max="1" width="12.42578125" style="27" customWidth="1"/>
    <col min="2" max="2" width="12.140625" style="23" customWidth="1"/>
    <col min="3" max="3" width="29.140625" style="23" customWidth="1"/>
    <col min="4" max="4" width="11.42578125" style="23"/>
    <col min="5" max="5" width="27.28515625" style="23" customWidth="1"/>
    <col min="6" max="6" width="13.85546875" style="23" customWidth="1"/>
    <col min="7" max="7" width="17.140625" style="23" customWidth="1"/>
    <col min="8" max="16384" width="11.42578125" style="23"/>
  </cols>
  <sheetData>
    <row r="1" spans="1:10" x14ac:dyDescent="0.25">
      <c r="A1" s="26" t="s">
        <v>36</v>
      </c>
      <c r="B1" s="22" t="s">
        <v>42</v>
      </c>
      <c r="C1" s="22" t="s">
        <v>34</v>
      </c>
      <c r="D1" s="22" t="s">
        <v>5</v>
      </c>
      <c r="E1" s="22" t="s">
        <v>35</v>
      </c>
      <c r="F1" s="22" t="s">
        <v>6</v>
      </c>
      <c r="G1" s="22" t="s">
        <v>29</v>
      </c>
      <c r="H1" s="24" t="s">
        <v>13</v>
      </c>
      <c r="I1" s="24" t="s">
        <v>4</v>
      </c>
      <c r="J1" s="23">
        <f ca="1">OFFSET(A1,COUNTA(A$1:A$1048567)-1,0,COUNTA(A1:A1),1)</f>
        <v>2</v>
      </c>
    </row>
    <row r="2" spans="1:10" x14ac:dyDescent="0.25">
      <c r="A2" s="27">
        <v>1</v>
      </c>
      <c r="B2" s="25">
        <v>45953</v>
      </c>
      <c r="C2" s="23" t="s">
        <v>28</v>
      </c>
      <c r="D2" s="23">
        <v>10</v>
      </c>
      <c r="E2" s="23" t="s">
        <v>17</v>
      </c>
      <c r="F2" s="23" t="s">
        <v>11</v>
      </c>
      <c r="G2" s="23" t="s">
        <v>32</v>
      </c>
      <c r="I2" s="23">
        <v>100</v>
      </c>
    </row>
    <row r="3" spans="1:10" x14ac:dyDescent="0.25">
      <c r="A3" s="27">
        <v>1</v>
      </c>
      <c r="B3" s="25">
        <v>45953</v>
      </c>
      <c r="C3" s="23" t="s">
        <v>28</v>
      </c>
      <c r="D3" s="23">
        <v>10</v>
      </c>
      <c r="E3" s="23" t="s">
        <v>17</v>
      </c>
      <c r="F3" s="23" t="s">
        <v>11</v>
      </c>
      <c r="G3" s="23" t="s">
        <v>32</v>
      </c>
      <c r="I3" s="23">
        <v>100</v>
      </c>
    </row>
    <row r="4" spans="1:10" x14ac:dyDescent="0.25">
      <c r="A4" s="27">
        <v>2</v>
      </c>
      <c r="B4" s="25">
        <v>45955</v>
      </c>
      <c r="C4" s="23" t="s">
        <v>28</v>
      </c>
      <c r="D4" s="23">
        <v>2</v>
      </c>
      <c r="E4" s="23" t="s">
        <v>17</v>
      </c>
      <c r="F4" s="23" t="s">
        <v>9</v>
      </c>
      <c r="G4" s="23" t="s">
        <v>32</v>
      </c>
      <c r="I4" s="23">
        <v>20</v>
      </c>
    </row>
    <row r="5" spans="1:10" x14ac:dyDescent="0.25">
      <c r="B5" s="25"/>
    </row>
    <row r="6" spans="1:10" x14ac:dyDescent="0.25">
      <c r="B6" s="2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2025-10-29T06:18:12Z</dcterms:modified>
</cp:coreProperties>
</file>