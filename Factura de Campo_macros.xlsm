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4E4F3559-3266-4F45-B98D-73AB170CB7A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<sst xmlns="http://schemas.openxmlformats.org/spreadsheetml/2006/main" count="87" uniqueCount="60">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</sst>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7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39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5" fillId="0" borderId="0" xfId="0" applyFont="1">
      <alignment horizontal="left" vertical="center" wrapText="1" indent="1"/>
    </xf>
    <xf numFmtId="168" fontId="26" fillId="0" borderId="0" xfId="0" applyNumberFormat="1" applyFont="1">
      <alignment horizontal="left" vertical="center" wrapText="1" indent="1"/>
    </xf>
    <xf numFmtId="0" fontId="26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28576</xdr:colOff>
          <xdr:row>2</xdr:row>
          <xdr:rowOff>238125</xdr:rowOff>
        </xdr:from>
        <xdr:to>
          <xdr:col>9</xdr:col>
          <xdr:colOff>419101</xdr:colOff>
          <xdr:row>4</xdr:row>
          <xdr:rowOff>219075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Buscar Factura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tabSelected="1" zoomScaleNormal="100" workbookViewId="0">
      <pane ySplit="1" topLeftCell="A2" activePane="bottomLeft" state="frozen"/>
      <selection pane="bottomLeft" activeCell="K10" sqref="K10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7" ht="24" customHeight="1" thickTop="1" x14ac:dyDescent="0.25">
      <c r="B2" s="17" t="s">
        <v>12</v>
      </c>
      <c r="C2" s="37" t="s">
        <v>58</v>
      </c>
      <c r="D2" s="14" t="s">
        <v>26</v>
      </c>
      <c r="E2" s="35">
        <f>IF(C2="","",VLOOKUP(C2,Clientes!C:G,5,FALSE))</f>
        <v>646061772</v>
      </c>
      <c r="F2" s="16" t="s">
        <v>1</v>
      </c>
      <c r="G2" s="36">
        <f ca="1">IF(Trabajos!J1="CodFactura",1,Trabajos!J1+1)</f>
        <v>4</v>
      </c>
    </row>
    <row r="3" spans="1:7" ht="20.100000000000001" customHeight="1" x14ac:dyDescent="0.25">
      <c r="B3" s="17" t="s">
        <v>0</v>
      </c>
      <c r="C3" s="35" t="str">
        <f>IF(C2="","",VLOOKUP(C2,Clientes!C:D,2,FALSE))</f>
        <v>Carrer Camí Reial</v>
      </c>
      <c r="F3" s="15" t="s">
        <v>2</v>
      </c>
      <c r="G3" s="34"/>
    </row>
    <row r="4" spans="1:7" ht="20.100000000000001" customHeight="1" x14ac:dyDescent="0.25">
      <c r="B4" s="5"/>
      <c r="C4" s="5"/>
      <c r="F4" s="2"/>
      <c r="G4" s="1"/>
    </row>
    <row r="5" spans="1:7" ht="44.1" customHeight="1" x14ac:dyDescent="0.25">
      <c r="D5" s="4"/>
      <c r="E5" s="30"/>
      <c r="F5" s="30"/>
      <c r="G5" s="30"/>
    </row>
    <row r="6" spans="1:7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7" ht="33.950000000000003" customHeight="1" x14ac:dyDescent="0.25">
      <c r="B7" s="20"/>
      <c r="C7" s="13"/>
      <c r="D7" s="10"/>
      <c r="E7" s="19"/>
      <c r="F7" s="18"/>
      <c r="G7" s="7"/>
    </row>
    <row r="8" spans="1:7" ht="33.950000000000003" customHeight="1" x14ac:dyDescent="0.25">
      <c r="B8" s="20"/>
      <c r="C8" s="13"/>
      <c r="D8" s="10"/>
      <c r="E8" s="19"/>
      <c r="F8" s="18"/>
      <c r="G8" s="7"/>
    </row>
    <row r="9" spans="1:7" ht="33.950000000000003" customHeight="1" x14ac:dyDescent="0.25">
      <c r="B9" s="20"/>
      <c r="C9" s="13"/>
      <c r="D9" s="10"/>
      <c r="E9" s="19"/>
      <c r="F9" s="18"/>
      <c r="G9" s="7"/>
    </row>
    <row r="10" spans="1:7" ht="33.950000000000003" customHeight="1" x14ac:dyDescent="0.25">
      <c r="B10" s="20"/>
      <c r="C10" s="13"/>
      <c r="D10" s="10"/>
      <c r="E10" s="19"/>
      <c r="F10" s="18"/>
      <c r="G10" s="7"/>
    </row>
    <row r="11" spans="1:7" ht="33.950000000000003" customHeight="1" x14ac:dyDescent="0.25">
      <c r="B11" s="20"/>
      <c r="C11" s="13"/>
      <c r="D11" s="10"/>
      <c r="E11" s="19"/>
      <c r="F11" s="18"/>
      <c r="G11" s="7"/>
    </row>
    <row r="12" spans="1:7" ht="33.950000000000003" customHeight="1" x14ac:dyDescent="0.25">
      <c r="B12" s="20"/>
      <c r="C12" s="13"/>
      <c r="D12" s="10"/>
      <c r="E12" s="19"/>
      <c r="F12" s="18"/>
      <c r="G12" s="7"/>
    </row>
    <row r="13" spans="1:7" ht="33.950000000000003" customHeight="1" x14ac:dyDescent="0.25">
      <c r="B13" s="20"/>
      <c r="C13" s="13"/>
      <c r="D13" s="10"/>
      <c r="E13" s="19"/>
      <c r="F13" s="18"/>
      <c r="G13" s="7"/>
    </row>
    <row r="14" spans="1:7" ht="33.950000000000003" customHeight="1" x14ac:dyDescent="0.25">
      <c r="B14" s="20"/>
      <c r="C14" s="13"/>
      <c r="D14" s="10"/>
      <c r="E14" s="19"/>
      <c r="F14" s="18"/>
      <c r="G14" s="7"/>
    </row>
    <row r="15" spans="1:7" ht="33.950000000000003" customHeight="1" x14ac:dyDescent="0.25">
      <c r="B15" s="20"/>
      <c r="C15" s="13"/>
      <c r="D15" s="10"/>
      <c r="E15" s="19"/>
      <c r="F15" s="18"/>
      <c r="G15" s="7"/>
    </row>
    <row r="16" spans="1:7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8</xdr:col>
                    <xdr:colOff>28575</xdr:colOff>
                    <xdr:row>2</xdr:row>
                    <xdr:rowOff>238125</xdr:rowOff>
                  </from>
                  <to>
                    <xdr:col>9</xdr:col>
                    <xdr:colOff>419100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2025-10-27T05:32:02Z</dcterms:modified>
</cp:coreProperties>
</file>