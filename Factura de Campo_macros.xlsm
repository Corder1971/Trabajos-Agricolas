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124FD50F-EB18-43F8-82F4-CBB046435EF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E2" i="1" l="1"/>
  <c r="C3" i="1"/>
  <c r="J1" i="3"/>
  <c r="G2" i="1" s="1"/>
  <c r="G18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<sst xmlns="http://schemas.openxmlformats.org/spreadsheetml/2006/main" count="87" uniqueCount="60">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</sst>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8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6" fillId="0" borderId="0" xfId="0" applyFont="1">
      <alignment horizontal="left" vertical="center" wrapText="1" indent="1"/>
    </xf>
    <xf numFmtId="168" fontId="27" fillId="0" borderId="0" xfId="0" applyNumberFormat="1" applyFont="1">
      <alignment horizontal="left" vertical="center" wrapText="1" indent="1"/>
    </xf>
    <xf numFmtId="0" fontId="27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66675</xdr:rowOff>
        </xdr:from>
        <xdr:to>
          <xdr:col>9</xdr:col>
          <xdr:colOff>342900</xdr:colOff>
          <xdr:row>2</xdr:row>
          <xdr:rowOff>85725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Botón 25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C2" sqref="C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7" ht="24" customHeight="1" thickTop="1" x14ac:dyDescent="0.25">
      <c r="B2" s="17" t="s">
        <v>12</v>
      </c>
      <c r="C2" s="37" t="s">
        <v>27</v>
      </c>
      <c r="D2" s="14" t="s">
        <v>26</v>
      </c>
      <c r="E2" s="35">
        <f>IF(C2="","",VLOOKUP(C2,Clientes!C:G,5,FALSE))</f>
        <v>656535755</v>
      </c>
      <c r="F2" s="16" t="s">
        <v>1</v>
      </c>
      <c r="G2" s="36">
        <f ca="1">IF(Trabajos!J1="CodFactura",1,Trabajos!J1+1)</f>
        <v>4</v>
      </c>
    </row>
    <row r="3" spans="1:7" ht="20.100000000000001" customHeight="1" x14ac:dyDescent="0.25">
      <c r="B3" s="17" t="s">
        <v>0</v>
      </c>
      <c r="C3" s="35" t="str">
        <f>IF(C2="","",VLOOKUP(C2,Clientes!C:D,2,FALSE))</f>
        <v>Carrer Dolors</v>
      </c>
      <c r="F3" s="15" t="s">
        <v>2</v>
      </c>
      <c r="G3" s="34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30"/>
      <c r="F5" s="30"/>
      <c r="G5" s="30"/>
    </row>
    <row r="6" spans="1:7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7" ht="33.950000000000003" customHeight="1" x14ac:dyDescent="0.25">
      <c r="B7" s="20"/>
      <c r="C7" s="13"/>
      <c r="D7" s="10"/>
      <c r="E7" s="19"/>
      <c r="F7" s="18"/>
      <c r="G7" s="7"/>
    </row>
    <row r="8" spans="1:7" ht="33.950000000000003" customHeight="1" x14ac:dyDescent="0.25">
      <c r="B8" s="20"/>
      <c r="C8" s="13"/>
      <c r="D8" s="10"/>
      <c r="E8" s="19"/>
      <c r="F8" s="18"/>
      <c r="G8" s="7"/>
    </row>
    <row r="9" spans="1:7" ht="33.950000000000003" customHeight="1" x14ac:dyDescent="0.25">
      <c r="B9" s="20"/>
      <c r="C9" s="13"/>
      <c r="D9" s="10"/>
      <c r="E9" s="19"/>
      <c r="F9" s="18"/>
      <c r="G9" s="7"/>
    </row>
    <row r="10" spans="1:7" ht="33.950000000000003" customHeight="1" x14ac:dyDescent="0.25">
      <c r="B10" s="20"/>
      <c r="C10" s="13"/>
      <c r="D10" s="10"/>
      <c r="E10" s="19"/>
      <c r="F10" s="18"/>
      <c r="G10" s="7"/>
    </row>
    <row r="11" spans="1:7" ht="33.950000000000003" customHeight="1" x14ac:dyDescent="0.25">
      <c r="B11" s="20"/>
      <c r="C11" s="13"/>
      <c r="D11" s="10"/>
      <c r="E11" s="19"/>
      <c r="F11" s="18"/>
      <c r="G11" s="7"/>
    </row>
    <row r="12" spans="1:7" ht="33.950000000000003" customHeight="1" x14ac:dyDescent="0.25">
      <c r="B12" s="20"/>
      <c r="C12" s="13"/>
      <c r="D12" s="10"/>
      <c r="E12" s="19"/>
      <c r="F12" s="18"/>
      <c r="G12" s="7"/>
    </row>
    <row r="13" spans="1:7" ht="33.950000000000003" customHeight="1" x14ac:dyDescent="0.25">
      <c r="B13" s="20"/>
      <c r="C13" s="13"/>
      <c r="D13" s="10"/>
      <c r="E13" s="19"/>
      <c r="F13" s="18"/>
      <c r="G13" s="7"/>
    </row>
    <row r="14" spans="1:7" ht="33.950000000000003" customHeight="1" x14ac:dyDescent="0.25">
      <c r="B14" s="20"/>
      <c r="C14" s="13"/>
      <c r="D14" s="10"/>
      <c r="E14" s="19"/>
      <c r="F14" s="18"/>
      <c r="G14" s="7"/>
    </row>
    <row r="15" spans="1:7" ht="33.950000000000003" customHeight="1" x14ac:dyDescent="0.25">
      <c r="B15" s="20"/>
      <c r="C15" s="13"/>
      <c r="D15" s="10"/>
      <c r="E15" s="19"/>
      <c r="F15" s="18"/>
      <c r="G15" s="7"/>
    </row>
    <row r="16" spans="1:7" ht="33.950000000000003" customHeight="1" x14ac:dyDescent="0.25">
      <c r="B16" s="21"/>
      <c r="C16" s="13"/>
      <c r="D16" s="12"/>
      <c r="E16" s="22"/>
      <c r="F16" s="18"/>
      <c r="G16" s="7"/>
    </row>
    <row r="17" spans="2:9" ht="33.950000000000003" customHeight="1" x14ac:dyDescent="0.25">
      <c r="B17" s="21"/>
      <c r="C17" s="13"/>
      <c r="D17" s="12"/>
      <c r="E17" s="22"/>
      <c r="F17" s="18"/>
      <c r="G17" s="7"/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7">
        <f t="shared" ref="G18" si="0">B18*10</f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SUM(G7:G18)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7</xdr:col>
                    <xdr:colOff>581025</xdr:colOff>
                    <xdr:row>1</xdr:row>
                    <xdr:rowOff>66675</xdr:rowOff>
                  </from>
                  <to>
                    <xdr:col>9</xdr:col>
                    <xdr:colOff>342900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6" sqref="A6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2025-10-26T05:59:40Z</dcterms:modified>
</cp:coreProperties>
</file>