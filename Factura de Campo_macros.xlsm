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filterPrivacy="1" codeName="ThisWorkbook"/>
  <xr:revisionPtr revIDLastSave="0" documentId="13_ncr:1_{B24BB003-EA5A-4461-BB32-CF9B16F2858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</sheets>
  <functionGroups builtInGroupCount="19"/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</workbook>
</file>

<file path=xl/calcChain.xml><?xml version="1.0" encoding="utf-8"?>
<calcChain xmlns="http://schemas.openxmlformats.org/spreadsheetml/2006/main">
  <c r="E2" i="1" l="1"/>
  <c r="C3" i="1"/>
  <c r="J1" i="3"/>
  <c r="G2" i="1" s="1"/>
  <c r="G18" i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<sst xmlns="http://schemas.openxmlformats.org/spreadsheetml/2006/main" count="87" uniqueCount="60">
  <si>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</si>
  <si>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</si>
  <si>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</si>
  <si>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</si>
  <si>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</si>
  <si>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</si>
  <si>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</si>
  <si>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</si>
  <si>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</si>
  <si>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</si>
  <si>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</si>
  <si>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</si>
  <si>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</si>
  <si>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</si>
  <si>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</si>
  <si>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</si>
  <si>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</si>
  <si>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</si>
  <si>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</si>
  <si>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</si>
  <si>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</si>
  <si>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</si>
  <si>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</si>
  <si>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</si>
  <si>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</si>
  <si>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>Injectar abono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</si>
  <si>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</si>
  <si>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</si>
  <si>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</si>
  <si>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</si>
  <si>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</si>
  <si>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</si>
  <si>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</si>
  <si>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</si>
  <si>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</si>
  <si>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</si>
  <si>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</si>
  <si>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CodCliente</t>
  </si>
  <si>
    <t>DNI/NIE</t>
  </si>
  <si>
    <t>Dirección</t>
  </si>
  <si>
    <t>Municipio</t>
  </si>
  <si>
    <t>Telefono</t>
  </si>
  <si>
    <t>Fecha</t>
  </si>
  <si>
    <t>Triturar</t>
  </si>
  <si>
    <t>Arrufatina</t>
  </si>
  <si>
    <t>Pintar cortes</t>
  </si>
  <si>
    <t>Motor de pulverizar</t>
  </si>
  <si>
    <t>Otros</t>
  </si>
  <si>
    <t>Abrir gomas goteo</t>
  </si>
  <si>
    <t>Poner mosqueros</t>
  </si>
  <si>
    <t>Matear malas hierbas</t>
  </si>
  <si>
    <t>79090547X</t>
  </si>
  <si>
    <t>Carrer Camí Reial</t>
  </si>
  <si>
    <t>Betxí</t>
  </si>
  <si>
    <t>Número</t>
  </si>
  <si>
    <t>18839449B</t>
  </si>
  <si>
    <t>Carrer Dolors</t>
  </si>
  <si>
    <t>18863036T</t>
  </si>
  <si>
    <t>Jose Antonio Doñate Miguel</t>
  </si>
  <si>
    <t>Trabajos Agricolas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</si>
</sst>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  <numFmt numFmtId="168" formatCode="&quot;A&quot;0000"/>
  </numFmts>
  <fonts count="28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  <font>
      <sz val="11"/>
      <color rgb="FF0F5766"/>
      <name val="Calibri"/>
      <family val="2"/>
    </font>
    <font>
      <sz val="12"/>
      <color theme="2" tint="-0.749961851863155"/>
      <name val="Arial"/>
      <family val="2"/>
    </font>
    <font>
      <sz val="12"/>
      <name val="Arial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40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68" fontId="22" fillId="0" borderId="0" xfId="0" applyNumberFormat="1" applyFont="1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right" vertical="center" wrapText="1" indent="1"/>
    </xf>
    <xf numFmtId="14" fontId="0" fillId="0" borderId="2" xfId="0" applyNumberFormat="1" applyBorder="1">
      <alignment horizontal="left" vertical="center" wrapText="1" indent="1"/>
    </xf>
    <xf numFmtId="0" fontId="4" fillId="4" borderId="3" xfId="6" applyAlignment="1" applyProtection="1">
      <alignment horizontal="centerContinuous" vertical="center"/>
    </xf>
    <xf numFmtId="0" fontId="4" fillId="4" borderId="3" xfId="6" applyAlignment="1" applyProtection="1">
      <alignment horizontal="distributed" vertical="center"/>
    </xf>
    <xf numFmtId="0" fontId="4" fillId="4" borderId="3" xfId="6" applyAlignment="1" applyProtection="1">
      <alignment horizontal="distributed" vertical="top" wrapText="1"/>
    </xf>
    <xf numFmtId="14" fontId="21" fillId="0" borderId="0" xfId="18" applyFont="1" applyAlignment="1">
      <alignment horizontal="left" vertical="center" wrapText="1" indent="1"/>
    </xf>
    <xf numFmtId="0" fontId="26" fillId="0" borderId="0" xfId="0" applyFont="1">
      <alignment horizontal="left" vertical="center" wrapText="1" indent="1"/>
    </xf>
    <xf numFmtId="168" fontId="27" fillId="0" borderId="0" xfId="0" applyNumberFormat="1" applyFont="1">
      <alignment horizontal="left" vertical="center" wrapText="1" indent="1"/>
    </xf>
    <xf numFmtId="0" fontId="27" fillId="0" borderId="0" xfId="2" applyNumberFormat="1" applyFont="1" applyAlignment="1" applyProtection="1">
      <alignment horizontal="left" vertical="center"/>
    </xf>
    <xf numFmtId="0" fontId="14" fillId="5" borderId="1" xfId="15" applyBorder="1">
      <alignment horizontal="left" vertical="top" wrapText="1" indent="1"/>
    </xf>
    <xf numFmtId="0" fontId="0" fillId="0" borderId="0" xfId="0" applyNumberFormat="1">
      <alignment horizontal="left" vertical="center" wrapText="1" indent="1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4"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3"/>
      <tableStyleElement type="headerRow" dxfId="12"/>
      <tableStyleElement type="totalRow" dxfId="11"/>
      <tableStyleElement type="lastColumn" dxfId="10"/>
      <tableStyleElement type="firstRowStripe" dxfId="9"/>
      <tableStyleElement type="secondRowStripe" dxfId="8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390525</xdr:colOff>
          <xdr:row>7</xdr:row>
          <xdr:rowOff>66675</xdr:rowOff>
        </xdr:from>
        <xdr:to>
          <xdr:col>12</xdr:col>
          <xdr:colOff>276225</xdr:colOff>
          <xdr:row>8</xdr:row>
          <xdr:rowOff>104775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Calendario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1</xdr:row>
          <xdr:rowOff>66675</xdr:rowOff>
        </xdr:from>
        <xdr:to>
          <xdr:col>9</xdr:col>
          <xdr:colOff>342900</xdr:colOff>
          <xdr:row>2</xdr:row>
          <xdr:rowOff>85725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Botón 25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5"/>
    <tableColumn id="2" xr3:uid="{00000000-0010-0000-0000-000002000000}" name="Trabajos" dataDxfId="4"/>
    <tableColumn id="7" xr3:uid="{00000000-0010-0000-0000-000007000000}" name="Variedad" dataDxfId="3"/>
    <tableColumn id="8" xr3:uid="{00000000-0010-0000-0000-000008000000}" name="Partida" dataDxfId="2"/>
    <tableColumn id="10" xr3:uid="{00000000-0010-0000-0000-00000A000000}" name="Parcela" dataDxfId="1"/>
    <tableColumn id="11" xr3:uid="{00000000-0010-0000-0000-00000B000000}" name="Precio" dataDxfId="0">
      <calculatedColumnFormula>B7*10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J19"/>
  <sheetViews>
    <sheetView showGridLines="0" tabSelected="1" zoomScaleNormal="100" workbookViewId="0">
      <pane ySplit="1" topLeftCell="A2" activePane="bottomLeft" state="frozen"/>
      <selection pane="bottomLeft" activeCell="J12" sqref="J12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10" ht="57.95" customHeight="1" thickBot="1" x14ac:dyDescent="0.3">
      <c r="A1" s="3"/>
      <c r="B1" s="32"/>
      <c r="C1" s="32"/>
      <c r="D1" s="31" t="s">
        <v>59</v>
      </c>
      <c r="E1" s="32"/>
      <c r="F1" s="32"/>
      <c r="G1" s="33"/>
    </row>
    <row r="2" spans="1:10" ht="24" customHeight="1" thickTop="1" x14ac:dyDescent="0.25">
      <c r="B2" s="17" t="s">
        <v>12</v>
      </c>
      <c r="C2" s="37" t="s">
        <v>27</v>
      </c>
      <c r="D2" s="14" t="s">
        <v>26</v>
      </c>
      <c r="E2" s="35">
        <f>IF(C2="","",VLOOKUP(C2,Clientes!C:G,5,FALSE))</f>
        <v>656535755</v>
      </c>
      <c r="F2" s="16" t="s">
        <v>1</v>
      </c>
      <c r="G2" s="36">
        <f ca="1">IF(Trabajos!J1="CodFactura",1,Trabajos!J1+1)</f>
        <v>4</v>
      </c>
    </row>
    <row r="3" spans="1:10" ht="20.100000000000001" customHeight="1" x14ac:dyDescent="0.25">
      <c r="B3" s="17" t="s">
        <v>0</v>
      </c>
      <c r="C3" s="35" t="str">
        <f>IF(C2="","",VLOOKUP(C2,Clientes!C:D,2,FALSE))</f>
        <v>Carrer Dolors</v>
      </c>
      <c r="F3" s="15" t="s">
        <v>2</v>
      </c>
      <c r="G3" s="34"/>
    </row>
    <row r="4" spans="1:10" ht="20.100000000000001" customHeight="1" x14ac:dyDescent="0.25">
      <c r="B4" s="5"/>
      <c r="C4" s="5"/>
      <c r="F4" s="2"/>
      <c r="G4" s="1"/>
    </row>
    <row r="5" spans="1:10" ht="44.1" customHeight="1" x14ac:dyDescent="0.25">
      <c r="D5" s="4"/>
      <c r="E5" s="30"/>
      <c r="F5" s="30"/>
      <c r="G5" s="30"/>
    </row>
    <row r="6" spans="1:10" ht="33.950000000000003" customHeight="1" x14ac:dyDescent="0.25">
      <c r="B6" s="9" t="s">
        <v>5</v>
      </c>
      <c r="C6" s="9" t="s">
        <v>14</v>
      </c>
      <c r="D6" s="9" t="s">
        <v>6</v>
      </c>
      <c r="E6" s="9" t="s">
        <v>29</v>
      </c>
      <c r="F6" s="9" t="s">
        <v>13</v>
      </c>
      <c r="G6" s="9" t="s">
        <v>4</v>
      </c>
    </row>
    <row r="7" spans="1:10" ht="33.950000000000003" customHeight="1" x14ac:dyDescent="0.25">
      <c r="B7" s="20"/>
      <c r="C7" s="13"/>
      <c r="D7" s="10"/>
      <c r="E7" s="19"/>
      <c r="F7" s="18"/>
      <c r="G7" s="7"/>
    </row>
    <row r="8" spans="1:10" ht="33.950000000000003" customHeight="1" x14ac:dyDescent="0.25">
      <c r="B8" s="20"/>
      <c r="C8" s="13"/>
      <c r="D8" s="10"/>
      <c r="E8" s="19"/>
      <c r="F8" s="18"/>
      <c r="G8" s="7"/>
    </row>
    <row r="9" spans="1:10" ht="33.950000000000003" customHeight="1" x14ac:dyDescent="0.25">
      <c r="B9" s="20"/>
      <c r="C9" s="13"/>
      <c r="D9" s="10"/>
      <c r="E9" s="19"/>
      <c r="F9" s="18"/>
      <c r="G9" s="7"/>
    </row>
    <row r="10" spans="1:10" ht="33.950000000000003" customHeight="1" x14ac:dyDescent="0.25">
      <c r="B10" s="20"/>
      <c r="C10" s="13"/>
      <c r="D10" s="10"/>
      <c r="E10" s="19"/>
      <c r="F10" s="18"/>
      <c r="G10" s="7"/>
      <c r="H10" s="39"/>
    </row>
    <row r="11" spans="1:10" ht="33.950000000000003" customHeight="1" x14ac:dyDescent="0.25">
      <c r="B11" s="20"/>
      <c r="C11" s="13"/>
      <c r="D11" s="10"/>
      <c r="E11" s="19"/>
      <c r="F11" s="18"/>
      <c r="G11" s="7"/>
    </row>
    <row r="12" spans="1:10" ht="33.950000000000003" customHeight="1" x14ac:dyDescent="0.25">
      <c r="B12" s="20"/>
      <c r="C12" s="13"/>
      <c r="D12" s="10"/>
      <c r="E12" s="19"/>
      <c r="F12" s="18"/>
      <c r="G12" s="7"/>
      <c r="J12" s="39"/>
    </row>
    <row r="13" spans="1:10" ht="33.950000000000003" customHeight="1" x14ac:dyDescent="0.25">
      <c r="B13" s="20"/>
      <c r="C13" s="13"/>
      <c r="D13" s="10"/>
      <c r="E13" s="19"/>
      <c r="F13" s="18"/>
      <c r="G13" s="7"/>
    </row>
    <row r="14" spans="1:10" ht="33.950000000000003" customHeight="1" x14ac:dyDescent="0.25">
      <c r="B14" s="20"/>
      <c r="C14" s="13"/>
      <c r="D14" s="10"/>
      <c r="E14" s="19"/>
      <c r="F14" s="18"/>
      <c r="G14" s="7"/>
    </row>
    <row r="15" spans="1:10" ht="33.950000000000003" customHeight="1" x14ac:dyDescent="0.25">
      <c r="B15" s="20"/>
      <c r="C15" s="13"/>
      <c r="D15" s="10"/>
      <c r="E15" s="19"/>
      <c r="F15" s="18"/>
      <c r="G15" s="7"/>
    </row>
    <row r="16" spans="1:10" ht="33.950000000000003" customHeight="1" x14ac:dyDescent="0.25">
      <c r="B16" s="21"/>
      <c r="C16" s="13"/>
      <c r="D16" s="12"/>
      <c r="E16" s="22"/>
      <c r="F16" s="18"/>
      <c r="G16" s="7"/>
    </row>
    <row r="17" spans="2:9" ht="33.950000000000003" customHeight="1" x14ac:dyDescent="0.25">
      <c r="B17" s="21"/>
      <c r="C17" s="13"/>
      <c r="D17" s="12"/>
      <c r="E17" s="22"/>
      <c r="F17" s="18"/>
      <c r="G17" s="7"/>
      <c r="I17" s="6"/>
    </row>
    <row r="18" spans="2:9" ht="33.950000000000003" customHeight="1" x14ac:dyDescent="0.25">
      <c r="B18" s="21"/>
      <c r="C18" s="13"/>
      <c r="D18" s="12"/>
      <c r="E18" s="22"/>
      <c r="F18" s="18"/>
      <c r="G18" s="7">
        <f t="shared" ref="G18" si="0">B18*10</f>
        <v>0</v>
      </c>
    </row>
    <row r="19" spans="2:9" ht="33.950000000000003" customHeight="1" x14ac:dyDescent="0.25">
      <c r="B19" s="38"/>
      <c r="C19" s="38"/>
      <c r="D19" s="38"/>
      <c r="E19" s="38"/>
      <c r="F19" s="11" t="s">
        <v>3</v>
      </c>
      <c r="G19" s="8">
        <f>SUM(G7:G18)</f>
        <v>0</v>
      </c>
    </row>
  </sheetData>
  <sheetProtection formatCells="0" formatColumns="0" formatRows="0" sort="0"/>
  <dataConsolidate/>
  <mergeCells count="1">
    <mergeCell ref="B19:E19"/>
  </mergeCells>
  <phoneticPr fontId="1" type="noConversion"/>
  <conditionalFormatting sqref="G7:G18">
    <cfRule type="expression" dxfId="7" priority="1">
      <formula>MOD(ROW(),2)=1</formula>
    </cfRule>
    <cfRule type="expression" dxfId="6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.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MostrarCalendario">
                <anchor moveWithCells="1" sizeWithCells="1">
                  <from>
                    <xdr:col>10</xdr:col>
                    <xdr:colOff>390525</xdr:colOff>
                    <xdr:row>7</xdr:row>
                    <xdr:rowOff>66675</xdr:rowOff>
                  </from>
                  <to>
                    <xdr:col>12</xdr:col>
                    <xdr:colOff>276225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" name="Button 25">
              <controlPr defaultSize="0" print="0" autoFill="0" autoPict="0" macro="[0]!CargarFacturaExistente">
                <anchor moveWithCells="1" sizeWithCells="1">
                  <from>
                    <xdr:col>7</xdr:col>
                    <xdr:colOff>581025</xdr:colOff>
                    <xdr:row>1</xdr:row>
                    <xdr:rowOff>66675</xdr:rowOff>
                  </from>
                  <to>
                    <xdr:col>9</xdr:col>
                    <xdr:colOff>342900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45B698AF-4F74-4644-A727-699C2DCCFA83}">
          <x14:formula1>
            <xm:f>Clientes!$C$2:$C$4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  <x14:dataValidation type="list" allowBlank="1" showInputMessage="1" showErrorMessage="1" xr:uid="{A9050097-5E2E-48D6-A2D2-E82C2C23465C}">
          <x14:formula1>
            <xm:f>Listas!$B$1:$B$19</xm:f>
          </x14:formula1>
          <xm:sqref>C7:C18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G4"/>
  <sheetViews>
    <sheetView workbookViewId="0">
      <selection activeCell="B14" sqref="B14"/>
    </sheetView>
  </sheetViews>
  <sheetFormatPr baseColWidth="10" defaultRowHeight="15" x14ac:dyDescent="0.25"/>
  <cols>
    <col min="1" max="1" width="15.5703125" style="29" customWidth="1"/>
    <col min="2" max="2" width="14.42578125" customWidth="1"/>
    <col min="3" max="3" width="36.42578125" customWidth="1"/>
    <col min="4" max="4" width="22.5703125" style="24" customWidth="1"/>
    <col min="5" max="5" width="11.28515625" style="24" customWidth="1"/>
    <col min="6" max="6" width="12.5703125" style="24" customWidth="1"/>
    <col min="7" max="7" width="12.5703125" customWidth="1"/>
  </cols>
  <sheetData>
    <row r="1" spans="1:7" x14ac:dyDescent="0.25">
      <c r="A1" s="29" t="s">
        <v>37</v>
      </c>
      <c r="B1" t="s">
        <v>38</v>
      </c>
      <c r="C1" s="24" t="s">
        <v>34</v>
      </c>
      <c r="D1" s="24" t="s">
        <v>39</v>
      </c>
      <c r="E1" s="24" t="s">
        <v>54</v>
      </c>
      <c r="F1" s="24" t="s">
        <v>40</v>
      </c>
      <c r="G1" t="s">
        <v>41</v>
      </c>
    </row>
    <row r="2" spans="1:7" x14ac:dyDescent="0.25">
      <c r="A2" s="29">
        <v>1</v>
      </c>
      <c r="B2" t="s">
        <v>51</v>
      </c>
      <c r="C2" t="s">
        <v>58</v>
      </c>
      <c r="D2" s="24" t="s">
        <v>52</v>
      </c>
      <c r="E2" s="24">
        <v>31</v>
      </c>
      <c r="F2" s="24" t="s">
        <v>53</v>
      </c>
      <c r="G2">
        <v>646061772</v>
      </c>
    </row>
    <row r="3" spans="1:7" x14ac:dyDescent="0.25">
      <c r="A3" s="29">
        <v>2</v>
      </c>
      <c r="B3" t="s">
        <v>55</v>
      </c>
      <c r="C3" t="s">
        <v>27</v>
      </c>
      <c r="D3" s="24" t="s">
        <v>56</v>
      </c>
      <c r="E3" s="24">
        <v>25</v>
      </c>
      <c r="F3" s="24" t="s">
        <v>53</v>
      </c>
      <c r="G3">
        <v>656535755</v>
      </c>
    </row>
    <row r="4" spans="1:7" x14ac:dyDescent="0.25">
      <c r="A4" s="29">
        <v>3</v>
      </c>
      <c r="B4" t="s">
        <v>57</v>
      </c>
      <c r="C4" t="s">
        <v>28</v>
      </c>
      <c r="D4" s="24" t="s">
        <v>56</v>
      </c>
      <c r="E4" s="24">
        <v>25</v>
      </c>
      <c r="F4" s="24" t="s">
        <v>53</v>
      </c>
      <c r="G4">
        <v>606100293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18"/>
  <sheetViews>
    <sheetView workbookViewId="0">
      <selection activeCell="C4" sqref="C4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28</v>
      </c>
      <c r="D1" t="s">
        <v>31</v>
      </c>
    </row>
    <row r="2" spans="1:4" x14ac:dyDescent="0.25">
      <c r="A2" t="s">
        <v>8</v>
      </c>
      <c r="B2" t="s">
        <v>24</v>
      </c>
      <c r="C2" t="s">
        <v>27</v>
      </c>
      <c r="D2" t="s">
        <v>32</v>
      </c>
    </row>
    <row r="3" spans="1:4" x14ac:dyDescent="0.25">
      <c r="A3" t="s">
        <v>7</v>
      </c>
      <c r="B3" t="s">
        <v>20</v>
      </c>
      <c r="C3" t="s">
        <v>58</v>
      </c>
      <c r="D3" t="s">
        <v>33</v>
      </c>
    </row>
    <row r="4" spans="1:4" x14ac:dyDescent="0.25">
      <c r="A4" t="s">
        <v>9</v>
      </c>
      <c r="B4" t="s">
        <v>21</v>
      </c>
      <c r="D4" t="s">
        <v>30</v>
      </c>
    </row>
    <row r="5" spans="1:4" x14ac:dyDescent="0.25">
      <c r="A5" t="s">
        <v>44</v>
      </c>
      <c r="B5" t="s">
        <v>18</v>
      </c>
    </row>
    <row r="6" spans="1:4" x14ac:dyDescent="0.25">
      <c r="A6" t="s">
        <v>10</v>
      </c>
      <c r="B6" t="s">
        <v>25</v>
      </c>
    </row>
    <row r="7" spans="1:4" x14ac:dyDescent="0.25">
      <c r="B7" t="s">
        <v>48</v>
      </c>
    </row>
    <row r="8" spans="1:4" x14ac:dyDescent="0.25">
      <c r="B8" t="s">
        <v>50</v>
      </c>
    </row>
    <row r="9" spans="1:4" x14ac:dyDescent="0.25">
      <c r="B9" t="s">
        <v>46</v>
      </c>
    </row>
    <row r="10" spans="1:4" x14ac:dyDescent="0.25">
      <c r="B10" t="s">
        <v>22</v>
      </c>
    </row>
    <row r="11" spans="1:4" x14ac:dyDescent="0.25">
      <c r="B11" t="s">
        <v>45</v>
      </c>
    </row>
    <row r="12" spans="1:4" x14ac:dyDescent="0.25">
      <c r="B12" t="s">
        <v>15</v>
      </c>
    </row>
    <row r="13" spans="1:4" x14ac:dyDescent="0.25">
      <c r="B13" t="s">
        <v>49</v>
      </c>
    </row>
    <row r="14" spans="1:4" x14ac:dyDescent="0.25">
      <c r="B14" t="s">
        <v>23</v>
      </c>
    </row>
    <row r="15" spans="1:4" x14ac:dyDescent="0.25">
      <c r="B15" t="s">
        <v>16</v>
      </c>
    </row>
    <row r="16" spans="1:4" x14ac:dyDescent="0.25">
      <c r="B16" t="s">
        <v>19</v>
      </c>
    </row>
    <row r="17" spans="2:2" x14ac:dyDescent="0.25">
      <c r="B17" t="s">
        <v>43</v>
      </c>
    </row>
    <row r="18" spans="2:2" x14ac:dyDescent="0.25">
      <c r="B18" t="s">
        <v>47</v>
      </c>
    </row>
  </sheetData>
  <sortState xmlns:xlrd2="http://schemas.microsoft.com/office/spreadsheetml/2017/richdata2" ref="A1:D19">
    <sortCondition ref="D1:D1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J5"/>
  <sheetViews>
    <sheetView workbookViewId="0">
      <selection activeCell="A6" sqref="A6"/>
    </sheetView>
  </sheetViews>
  <sheetFormatPr baseColWidth="10" defaultRowHeight="15" x14ac:dyDescent="0.25"/>
  <cols>
    <col min="1" max="1" width="12.42578125" style="28" customWidth="1"/>
    <col min="2" max="2" width="12.140625" style="24" customWidth="1"/>
    <col min="3" max="3" width="29.140625" style="24" customWidth="1"/>
    <col min="4" max="4" width="11.42578125" style="24"/>
    <col min="5" max="5" width="27.28515625" style="24" customWidth="1"/>
    <col min="6" max="6" width="13.85546875" style="24" customWidth="1"/>
    <col min="7" max="7" width="17.140625" style="24" customWidth="1"/>
    <col min="8" max="16384" width="11.42578125" style="24"/>
  </cols>
  <sheetData>
    <row r="1" spans="1:10" x14ac:dyDescent="0.25">
      <c r="A1" s="27" t="s">
        <v>36</v>
      </c>
      <c r="B1" s="23" t="s">
        <v>42</v>
      </c>
      <c r="C1" s="23" t="s">
        <v>34</v>
      </c>
      <c r="D1" s="23" t="s">
        <v>5</v>
      </c>
      <c r="E1" s="23" t="s">
        <v>35</v>
      </c>
      <c r="F1" s="23" t="s">
        <v>6</v>
      </c>
      <c r="G1" s="23" t="s">
        <v>29</v>
      </c>
      <c r="H1" s="25" t="s">
        <v>13</v>
      </c>
      <c r="I1" s="25" t="s">
        <v>4</v>
      </c>
      <c r="J1" s="24">
        <f ca="1">OFFSET(A1,COUNTA(A$1:A$1048568)-1,0,COUNTA(A1:A1),1)</f>
        <v>3</v>
      </c>
    </row>
    <row r="2" spans="1:10" x14ac:dyDescent="0.25">
      <c r="A2" s="28">
        <v>1</v>
      </c>
      <c r="B2" s="26">
        <v>45953</v>
      </c>
      <c r="C2" s="24" t="s">
        <v>28</v>
      </c>
      <c r="D2" s="24">
        <v>10</v>
      </c>
      <c r="E2" s="24" t="s">
        <v>17</v>
      </c>
      <c r="F2" s="24" t="s">
        <v>11</v>
      </c>
      <c r="G2" s="24" t="s">
        <v>32</v>
      </c>
      <c r="I2" s="24">
        <v>100</v>
      </c>
    </row>
    <row r="3" spans="1:10" x14ac:dyDescent="0.25">
      <c r="A3" s="28">
        <v>1</v>
      </c>
      <c r="B3" s="26">
        <v>45953</v>
      </c>
      <c r="C3" s="24" t="s">
        <v>28</v>
      </c>
      <c r="D3" s="24">
        <v>10</v>
      </c>
      <c r="E3" s="24" t="s">
        <v>17</v>
      </c>
      <c r="F3" s="24" t="s">
        <v>11</v>
      </c>
      <c r="G3" s="24" t="s">
        <v>32</v>
      </c>
      <c r="I3" s="24">
        <v>100</v>
      </c>
    </row>
    <row r="4" spans="1:10" x14ac:dyDescent="0.25">
      <c r="A4" s="28">
        <v>2</v>
      </c>
      <c r="B4" s="26">
        <v>45955</v>
      </c>
      <c r="C4" s="24" t="s">
        <v>28</v>
      </c>
      <c r="D4" s="24">
        <v>2</v>
      </c>
      <c r="E4" s="24" t="s">
        <v>17</v>
      </c>
      <c r="F4" s="24" t="s">
        <v>9</v>
      </c>
      <c r="G4" s="24" t="s">
        <v>32</v>
      </c>
      <c r="I4" s="24">
        <v>20</v>
      </c>
    </row>
    <row r="5" spans="1:10" x14ac:dyDescent="0.25">
      <c r="A5" s="28">
        <v>3</v>
      </c>
      <c r="B5" s="26">
        <v>45955</v>
      </c>
      <c r="C5" s="24" t="s">
        <v>27</v>
      </c>
      <c r="D5" s="24">
        <v>10</v>
      </c>
      <c r="E5" s="24" t="s">
        <v>48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Factura</vt:lpstr>
      <vt:lpstr>Clientes</vt:lpstr>
      <vt:lpstr>Listas</vt:lpstr>
      <vt:lpstr>Trabajos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2025-10-26T10:37:29Z</dcterms:modified>
</cp:coreProperties>
</file>